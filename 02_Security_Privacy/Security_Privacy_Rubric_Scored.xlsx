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Rubric" sheetId="2" state="visible" r:id="rId4"/>
    <sheet name="Scoring" sheetId="3" state="visible" r:id="rId5"/>
    <sheet name="Tren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<sst xmlns="http://schemas.openxmlformats.org/spreadsheetml/2006/main" count="1164" uniqueCount="248">
  <si>
    <t xml:space="preserve">Security / Privacy NFR — Scoring Rubric &amp; Instructions</t>
  </si>
  <si>
    <t xml:space="preserve">Purpose</t>
  </si>
  <si>
    <t xml:space="preserve">This workbook operationalizes the Security/Privacy non-functional requirement (Section 4.4 of the proposal). Each of four operating systems is scored on nine criteria at three time points (2015, 2020, 2025/26), producing a documented security-posture trend per platform.</t>
  </si>
  <si>
    <t xml:space="preserve">The 0–1–2 scale</t>
  </si>
  <si>
    <t xml:space="preserve">0 = feature absent / undocumented.   1 = partial, optional, or limited.   2 = fully present, on by default, and documented.</t>
  </si>
  <si>
    <t xml:space="preserve">Each criterion's row gives the specific meaning of 0/1/2 for that criterion — use that wording, not a general impression.</t>
  </si>
  <si>
    <t xml:space="preserve">How to score (Scoring sheet)</t>
  </si>
  <si>
    <t xml:space="preserve">1. Work one platform at a time, and within a platform one time point at a time (2015, then 2020, then 2025/26).</t>
  </si>
  <si>
    <t xml:space="preserve">2. For each criterion, consult PUBLIC documentation only — official release notes, security/privacy whitepapers, developer documentation — for that platform at (approximately) that time point.</t>
  </si>
  <si>
    <t xml:space="preserve">3. Enter 0, 1, or 2 in the score cell (dropdown provided). Enter the same four options' logic as the reliability study: if a platform did not exist at a time point (e.g., HarmonyOS in 2015, Fuchsia in 2015), enter “N/A” and note it.</t>
  </si>
  <si>
    <t xml:space="preserve">4. In the matching Evidence column, paste the source (document title + URL + the date/version it refers to) that justifies the score. A score without a citable source is not usable in the paper.</t>
  </si>
  <si>
    <t xml:space="preserve">5. Both co-authors should score independently where feasible, then reconcile — same two-rater discipline as the reliability study. IMPORTANT: keep each rater's independent scores in a separate copy BEFORE reconciling, so an inter-rater agreement figure can be reported.</t>
  </si>
  <si>
    <t xml:space="preserve">Handling platforms that didn't exist yet</t>
  </si>
  <si>
    <t xml:space="preserve">HarmonyOS launched in 2019 and Fuchsia's public releases came later; neither has a meaningful 2015 column. Mark those cells N/A rather than 0 — 0 means “existed but lacked the feature,” which is a different claim. The Trend sheet excludes N/A from averages.</t>
  </si>
  <si>
    <t xml:space="preserve">Output</t>
  </si>
  <si>
    <t xml:space="preserve">The Trend sheet automatically computes each platform's total and average score per time point (excluding N/A), which becomes the security-posture-over-time chart in Section 5 of the paper.</t>
  </si>
  <si>
    <t xml:space="preserve">ID</t>
  </si>
  <si>
    <t xml:space="preserve">Dimension</t>
  </si>
  <si>
    <t xml:space="preserve">Criterion</t>
  </si>
  <si>
    <t xml:space="preserve">Meaning of 0 / 1 / 2</t>
  </si>
  <si>
    <t xml:space="preserve">A1</t>
  </si>
  <si>
    <t xml:space="preserve">Authentication</t>
  </si>
  <si>
    <t xml:space="preserve">Biometric authentication</t>
  </si>
  <si>
    <t xml:space="preserve">0 = none; 1 = single modality (e.g., fingerprint only); 2 = multiple/advanced modalities (face + fingerprint, liveness detection)</t>
  </si>
  <si>
    <t xml:space="preserve">A2</t>
  </si>
  <si>
    <t xml:space="preserve">Multi-factor / two-factor authentication</t>
  </si>
  <si>
    <t xml:space="preserve">0 = not supported; 1 = optional/partial support; 2 = built-in and broadly supported across services</t>
  </si>
  <si>
    <t xml:space="preserve">A3</t>
  </si>
  <si>
    <t xml:space="preserve">Secure boot / verified boot / hardware root of trust</t>
  </si>
  <si>
    <t xml:space="preserve">0 = absent; 1 = partial or optional; 2 = enforced by default with hardware backing (TPM, Secure Enclave, etc.)</t>
  </si>
  <si>
    <t xml:space="preserve">D1</t>
  </si>
  <si>
    <t xml:space="preserve">Data protection</t>
  </si>
  <si>
    <t xml:space="preserve">Encryption at rest (device/file-level)</t>
  </si>
  <si>
    <t xml:space="preserve">0 = none; 1 = optional or partial; 2 = on by default, full-disk or file-based</t>
  </si>
  <si>
    <t xml:space="preserve">D2</t>
  </si>
  <si>
    <t xml:space="preserve">Encryption in transit / secure networking defaults</t>
  </si>
  <si>
    <t xml:space="preserve">0 = none; 1 = partial; 2 = enforced by default (TLS, encrypted sync, etc.)</t>
  </si>
  <si>
    <t xml:space="preserve">D3</t>
  </si>
  <si>
    <t xml:space="preserve">On-device / private processing of sensitive data</t>
  </si>
  <si>
    <t xml:space="preserve">0 = none, all cloud; 1 = some on-device processing; 2 = strong on-device / private-cloud guarantees documented</t>
  </si>
  <si>
    <t xml:space="preserve">T1</t>
  </si>
  <si>
    <t xml:space="preserve">Transparency</t>
  </si>
  <si>
    <t xml:space="preserve">Transparency of AI / data handling (what leaves the device)</t>
  </si>
  <si>
    <t xml:space="preserve">0 = undocumented; 1 = partially documented; 2 = clearly documented what is processed on-device vs. cloud</t>
  </si>
  <si>
    <t xml:space="preserve">T2</t>
  </si>
  <si>
    <t xml:space="preserve">User-facing privacy controls / permission granularity</t>
  </si>
  <si>
    <t xml:space="preserve">0 = coarse or none; 1 = moderate; 2 = fine-grained per-app/per-data permissions</t>
  </si>
  <si>
    <t xml:space="preserve">T3</t>
  </si>
  <si>
    <t xml:space="preserve">Independent audit / compliance documentation</t>
  </si>
  <si>
    <t xml:space="preserve">0 = none; 1 = some third-party or self-reported compliance; 2 = independent audit / formal certification documented</t>
  </si>
  <si>
    <t xml:space="preserve">OS</t>
  </si>
  <si>
    <t xml:space="preserve">Time Point</t>
  </si>
  <si>
    <t xml:space="preserve">Crit ID</t>
  </si>
  <si>
    <t xml:space="preserve">Score (0/1/2/N/A)</t>
  </si>
  <si>
    <t xml:space="preserve">Evidence (source title + URL + date/version)</t>
  </si>
  <si>
    <t xml:space="preserve">Rater</t>
  </si>
  <si>
    <t xml:space="preserve">Rater 2 Score (Nijem)</t>
  </si>
  <si>
    <t xml:space="preserve">Rater 2 Evidence</t>
  </si>
  <si>
    <t xml:space="preserve">Final Score</t>
  </si>
  <si>
    <t xml:space="preserve">Reconciliation Notes</t>
  </si>
  <si>
    <t xml:space="preserve">Apple / iOS</t>
  </si>
  <si>
    <t xml:space="preserve">2015</t>
  </si>
  <si>
    <t xml:space="preserve">iOS 9 (Sept 2015) supported Touch ID fingerprint authentication only — a single biometric modality (Face ID did not launch until iPhone X, 2017). Source: Apple, "iOS Security—White Paper," September 2015 (official primary source).</t>
  </si>
  <si>
    <t xml:space="preserve">M. Alhawarat</t>
  </si>
  <si>
    <t xml:space="preserve">MacRumors, 'Touch ID' guide: Touch ID (fingerprint only) shipped on iPhone 5s (2013) through iPhone 6/6s-era devices; Face ID did not exist until 2017 -- https://www.macrumors.com/guide/touch-id/ (accessed 2026)</t>
  </si>
  <si>
    <t xml:space="preserve">Agreed independently by both raters; no reconciliation needed.</t>
  </si>
  <si>
    <t xml:space="preserve">Apple introduced mandatory two-factor authentication for Apple ID alongside iOS 9 / OS X El Capitan in September 2015 (building on two-step verification offered since 2013), combining password with a trusted-device code. Source: Apple iOS Security White Paper, September 2015; contemporaneous Apple ID 2FA rollout coverage.</t>
  </si>
  <si>
    <t xml:space="preserve">KEPT AT 1 -- factual correction to co-author's source: 9to5Mac's contemporaneous Sept 2015 rollout post states 'all iCloud users CAN enable two-factor authentication today' (opt-in); mandatory *upgrading* from 2-step to 2FA did not begin until the iOS 11/macOS High Sierra betas in 2017 ('required to use some of the latest features') -- https://9to5mac.com/2015/07/08/apple-revamped-two-factor-login/ ; https://mobileidworld.com/2fa-security-new-ios-features-006156/ . Flagged for co-author: their 'mandatory in Sept 2015' claim appears to conflict with these contemporaneous sources.</t>
  </si>
  <si>
    <t xml:space="preserve">RECONCILED (was 2/1): 9to5Mac's contemporaneous Sept 2015 source describes Apple ID 2FA as opt-in ('CAN enable'), not mandatory; mandatory upgrade prompts began only in 2017. Original 'mandatory' claim was a factual error, corrected via co-author's independent verification.</t>
  </si>
  <si>
    <t xml:space="preserve">The Secure Enclave (present since the A7 chip, iPhone 5s) provided its own independent secure boot process and personalized software update path, separate from the application processor, maintaining Data Protection integrity even if the main kernel was compromised. Source: Apple iOS Security White Paper, September 2015 (official primary source, "Secure Enclave" section).</t>
  </si>
  <si>
    <t xml:space="preserve">Apple, 'iOS Security' guide, iOS 8.3, April 2015 -- https://apple.com/vn/privacy/docs/iOS_Security_Guide.pdf -- documents secure boot chain enforced by default with hardware root of trust (Boot ROM) and Secure Enclave, already present at iOS 8.3.</t>
  </si>
  <si>
    <t xml:space="preserve">iOS Data Protection encrypted user data by default using class keys derived from the device UID and user passcode, entirely on-device, since iOS 8. Source: Apple iOS Security White Paper, September 2015.</t>
  </si>
  <si>
    <t xml:space="preserve">Apple, 'iOS Security' guide, iOS 8.3, April 2015 -- https://apple.com/vn/privacy/docs/iOS_Security_Guide.pdf -- 'File Data Protection' section: on-by-default, file-based Data Protection encryption since iOS 8 (2014).</t>
  </si>
  <si>
    <t xml:space="preserve">App Transport Security (ATS) was introduced with iOS 9 (Sept 2015), encouraging apps to use HTTPS, but enforcement for App Store submissions was not yet mandatory in 2015 (that deadline arrived in subsequent years) — assessed as partial/optional at this time point.</t>
  </si>
  <si>
    <t xml:space="preserve">OWASP MASTG-KNOW-0071 / WWDC 2015 Session 706 notes: App Transport Security (ATS), introduced iOS 9 (Sept 2015), is on by default but developers could disable it via Info.plist with NO justification required until Jan 1, 2017 -- https://mas.owasp.org/MASTG/knowledge/ios/MASVS-NETWORK/MASTG-KNOW-0071/ ; https://mjtsai.com/blog/2015/07/17/</t>
  </si>
  <si>
    <t xml:space="preserve">On-device Data Protection kept user files encrypted locally by default, but Siri’s voice recognition and query processing in 2015 was substantially cloud-dependent (server-side processing), similar to contemporaneous voice assistants — a mixed picture rather than a comprehensive on-device guarantee.</t>
  </si>
  <si>
    <t xml:space="preserve">Apple Support, 'About Touch ID advanced security technology': fingerprint matching performed entirely on-device in the Secure Enclave, never sent to Apple -- https://support.apple.com/en-us/105095 (general-purpose Siri/AI processing was cloud-based at this time; no comparable on-device AI documentation existed in 2015).</t>
  </si>
  <si>
    <t xml:space="preserve">Apple publicly published a detailed, technical iOS Security White Paper (this Sept 2015 edition) describing cryptographic and data-handling mechanisms in depth — an unusually transparent practice for the OS industry at the time. Source: Apple iOS Security White Paper, September 2015.</t>
  </si>
  <si>
    <t xml:space="preserve">Apple, 'iOS Security' guide, iOS 8.3, April 2015 -- https://apple.com/vn/privacy/docs/iOS_Security_Guide.pdf -- the April 2015 iOS Security Guide's table of contents has no dedicated section documenting what Siri/AI-type data is processed on-device vs. sent to Apple's servers, indicating limited documentation at this time point. (Kept at original independent assessment -- co-author reads the same White Paper as covering data-handling transparency more broadly; noted as an open disagreement rather than adopted.)</t>
  </si>
  <si>
    <t xml:space="preserve">RECONCILED (was 2/1): The actual April 2015 iOS Security Guide (iOS 8.3) has no dedicated section on Siri/AI-type data handling specifically; general cryptographic documentation strength does not substitute for AI-data-handling-specific transparency, the literal criterion.</t>
  </si>
  <si>
    <t xml:space="preserve">iOS had an established, mature runtime permission model (location, contacts, photos, camera, microphone) with per-app user consent prompts since iOS 6 (2012), well ahead of most competitors by 2015.</t>
  </si>
  <si>
    <t xml:space="preserve">Apple, 'iOS Security' guide, iOS 8.3, April 2015 -- https://apple.com/vn/privacy/docs/iOS_Security_Guide.pdf -- table of contents lists a dedicated 'Privacy controls' section covering per-app control of Location Services and other user data, already fine-grained by iOS 8.3 (April 2015).</t>
  </si>
  <si>
    <t xml:space="preserve">Apple’s security documentation in 2015 was self-published (the white paper itself); no evidence found of a formal, independent third-party audit or certification specific to iOS device security at this time, though Apple’s enterprise cloud services held some compliance certifications.</t>
  </si>
  <si>
    <t xml:space="preserve">Apple, 'iOS Security' guide, iOS 8.3, April 2015 -- https://apple.com/vn/privacy/docs/iOS_Security_Guide.pdf -- table of contents lists a 'FIPS 140-2' section, i.e. formal cryptographic-module certification, but no independent audit of the OS/data-handling as a whole (self-reported/certification-program level).</t>
  </si>
  <si>
    <t xml:space="preserve">2020</t>
  </si>
  <si>
    <t xml:space="preserve">By iOS 14 (2020), Face ID (introduced 2017) and Touch ID (retained on some models) together offered multiple biometric modalities with liveness/attention detection for Face ID.</t>
  </si>
  <si>
    <t xml:space="preserve">Apple, 'Face ID Security' guide (Nov 2017, still current tech in 2020): Face ID uses TrueDepth camera with attention/liveness detection ('confirms attention by detecting the direction of your gaze... mitigate both digital and physical spoofing') -- https://www.apple.com/business-docs/FaceID_Security_Guide.pdf</t>
  </si>
  <si>
    <t xml:space="preserve">Two-factor authentication for Apple ID had become effectively mandatory for new accounts by this period and was broadly integrated across Apple services.</t>
  </si>
  <si>
    <t xml:space="preserve">Apple Support, 'Two-factor authentication for Apple ID' (HT204915): 2FA required for all new Apple IDs and, once enabled on an existing ID, cannot be turned off -- built-in and broadly enforced across Apple ID/iCloud services by 2020 -- https://support.apple.com/en-us/HT204915</t>
  </si>
  <si>
    <t xml:space="preserve">The Secure Enclave had matured further (e.g., A13-generation chips introducing formally verified cryptographic implementations), continuing independent secure boot and key management.</t>
  </si>
  <si>
    <t xml:space="preserve">Apple, 'Apple Platform Security' guide (current) -- https://support.apple.com/en-bn/guide/security-pdf/secb3000f149/web -- secure boot chain / hardware root of trust unchanged in principle, now also extended to T2/Apple Silicon Secure Enclave on Mac.</t>
  </si>
  <si>
    <t xml:space="preserve">iOS Data Protection remained on by default and comprehensive; encryption architecture essentially unchanged in principle from 2015 but hardware-accelerated and more robust.</t>
  </si>
  <si>
    <t xml:space="preserve">Apple, 'Apple Platform Security' guide (current) -- https://support.apple.com/en-bn/guide/security-pdf/secb3000f149/web -- file-based Data Protection / full-disk encryption remains on by default.</t>
  </si>
  <si>
    <t xml:space="preserve">App Transport Security enforcement for new App Store submissions had become effectively mandatory in the intervening years, making HTTPS the default expectation for apps by 2020.</t>
  </si>
  <si>
    <t xml:space="preserve">OWASP MASTG-KNOW-0071: from Jan 1, 2017, Apple App Store review requires developers to justify any ATS exception, making TLS the enforced default across the app ecosystem by 2020 -- https://mas.owasp.org/MASTG/knowledge/ios/MASVS-NETWORK/MASTG-KNOW-0071/</t>
  </si>
  <si>
    <t xml:space="preserve">On-device speech recognition for Siri was introduced with iOS 13 (2019), a meaningful shift toward on-device processing for a subset of functionality, but broader Siri query understanding and many AI features still relied substantially on Apple’s cloud backend — assessed as improved but still partial.</t>
  </si>
  <si>
    <t xml:space="preserve">Apple Newsroom, 'Improving Siri's Privacy Protections' (28 Aug 2019); MIT Technology Review, 'How Apple personalizes Siri without hoovering up your data' (11 Dec 2019): Hey Siri speaker recognition uses on-device federated learning + differential privacy since iOS 13; full Siri request audio still processed on Apple servers until iOS 15 (2021) -- https://www.apple.com/befr/newsroom/2019/08/improving-siris-privacy-protections/ ; https://www.technologyreview.com/2019/12/11/131629/apple-ai-personalizes-siri-federated-learning/</t>
  </si>
  <si>
    <t xml:space="preserve">App Store "Privacy Nutrition Labels," requiring developers to disclose what data each app collects and how it is used, launched in December 2020 — a significant, concrete transparency mechanism at the exact 2020 time point.</t>
  </si>
  <si>
    <t xml:space="preserve">REVISED to 2 -- adopting co-author's more concrete, dated evidence: Apple required App Store 'Privacy Nutrition Labels' for all new/updated apps starting 8 Dec 2020, disclosing what data each app collects/links/tracks on every app's product page -- a genuine, verifiable transparency mechanism landing exactly at this time point -- https://9to5mac.com/2020/11/05/app-store-privacy-labels-developers/</t>
  </si>
  <si>
    <t xml:space="preserve">iOS 14 added further granular privacy controls: approximate (vs. precise) location sharing, camera/microphone use indicator dots, and limited photo-library access grants — among the most granular permission systems in the industry at the time.</t>
  </si>
  <si>
    <t xml:space="preserve">Fast Company / TechRadar coverage of iOS 14 (released 14 Sep 2020): adds 'Approximate Location' as a per-app precision toggle alongside existing per-app Location/Contacts/Photos/Camera/Microphone permissions -- https://www.fastcompany.co.za/?p=6426</t>
  </si>
  <si>
    <t xml:space="preserve">As in 2015, Apple’s security and privacy claims for iOS itself remained primarily self-documented; no prominent, formal independent audit specific to iOS device security (distinct from enterprise cloud compliance) was identified for this period.</t>
  </si>
  <si>
    <t xml:space="preserve">Apple, 'Apple Platform Security' guide (current) -- https://support.apple.com/en-bn/guide/security-pdf/secb3000f149/web -- continues to document FIPS 140-2 cryptographic validation; no full independent third-party audit of AI/data handling had been published by 2020.</t>
  </si>
  <si>
    <t xml:space="preserve">2025/26</t>
  </si>
  <si>
    <t xml:space="preserve">Face ID and Touch ID remain available, and on Vision Pro, Optic ID (iris recognition) adds a further biometric modality — multiple advanced modalities across the product line.</t>
  </si>
  <si>
    <t xml:space="preserve">Apple, 'Face ID Security' guide: Face ID (liveness detection via TrueDepth/attention-aware) remains the default biometric across current iPhone/iPad Pro lineup into 2025/26; Touch ID (fingerprint) persists in parallel on SE/iPad models -- https://www.apple.com/business-docs/FaceID_Security_Guide.pdf ; https://www.macrumors.com/guide/touch-id/</t>
  </si>
  <si>
    <t xml:space="preserve">Two-factor authentication remains standard and mandatory for Apple ID, integrated across all Apple services and Apple Intelligence features.</t>
  </si>
  <si>
    <t xml:space="preserve">Apple Support, 'Two-factor authentication for Apple ID' (HT204915): unchanged/expanded policy -- 2FA remains mandatory for new Apple IDs and required for higher-security features (iCloud Keychain, etc.) into 2025/26 -- https://support.apple.com/en-us/HT204915</t>
  </si>
  <si>
    <t xml:space="preserve">The Secure Enclave and Secure Boot chain now extend to Apple’s own silicon servers powering Private Cloud Compute (PCC), providing a hardware root of trust that spans from the device to the cloud tier. Source: Apple Newsroom, "Apple extends its privacy leadership with new updates across its platforms" (2024).</t>
  </si>
  <si>
    <t xml:space="preserve">Apple, 'Apple Platform Security' guide (current) -- https://support.apple.com/en-bn/guide/security-pdf/secb3000f149/web -- current guide continues to document secure boot chain enforced by default on Apple Silicon devices.</t>
  </si>
  <si>
    <t xml:space="preserve">On-device Data Protection remains comprehensive and on by default; PCC server nodes additionally encrypt user requests in transit to and within the cloud tier and delete data after fulfilling a request.</t>
  </si>
  <si>
    <t xml:space="preserve">Apple, 'Apple Platform Security' guide (current) -- https://support.apple.com/en-bn/guide/security-pdf/secb3000f149/web -- unchanged: on-by-default file-based encryption.</t>
  </si>
  <si>
    <t xml:space="preserve">App Transport Security remains enforced; Private Cloud Compute connections are authenticated and encrypted end-to-end, with device-side attestation verifying the identity and configuration of a PCC cluster before a request is sent. Source: Apple Newsroom (2024).</t>
  </si>
  <si>
    <t xml:space="preserve">Same ATS enforcement policy continues into 2025/26, with later TLS 1.3 support -- https://mas.owasp.org/MASTG/knowledge/ios/MASVS-NETWORK/MASTG-KNOW-0071/</t>
  </si>
  <si>
    <t xml:space="preserve">Apple Intelligence first attempts to fulfill AI tasks entirely on-device; when a task requires more capable cloud processing, Private Cloud Compute processes the request statelessly, never storing data or making it accessible to Apple — a documented, architecturally-enforced on-device/private-cloud model, benchmarked in this paper’s own AI-reliability case study. Source: MIT Technology Review, "Apple is promising personalized AI in a private cloud" (2024); Apple Newsroom (2024).</t>
  </si>
  <si>
    <t xml:space="preserve">Apple Security Research, 'Private Cloud Compute: A new frontier for AI privacy in the cloud' (10 Jun 2024): Apple Intelligence uses on-device models where possible and Private Cloud Compute (stateless, non-targetable, independently verifiable) for larger requests -- https://security.apple.com/blog/private-cloud-compute/</t>
  </si>
  <si>
    <t xml:space="preserve">Apple has published a detailed PCC Security Guide describing the technical design, threat model, and verification requirements of Private Cloud Compute, in addition to continued Privacy Nutrition Labels for apps. Source: Apple Security Research Blog, "Security research in Private Cloud Compute" (Oct 2024).</t>
  </si>
  <si>
    <t xml:space="preserve">Apple Security Research blog, 'Private Cloud Compute' (Jun 2024) and 'Security research on Private Cloud Compute' (24 Oct 2024): Apple publishes a dedicated PCC Security Guide and documents precisely which requests stay on-device vs. route to PCC -- https://security.apple.com/blog/private-cloud-compute/</t>
  </si>
  <si>
    <t xml:space="preserve">Granular, per-app runtime permissions continue and now extend to Apple Intelligence features (e.g., explicit consent prompts for on-device biometric processing in Copilot-adjacent third-party features analyzed elsewhere in this paper).</t>
  </si>
  <si>
    <t xml:space="preserve">AppleInsider, 'Apple releases new video detailing App Tracking Transparency' (26 Apr 2021): App Tracking Transparency requires explicit per-app opt-in for cross-app/site tracking, layered on top of existing granular Location/Contacts/Photos permissions -- https://appleinsider.com/articles/21/04/26/apple-releases-new-video-detailing-app-tracking-transparency</t>
  </si>
  <si>
    <t xml:space="preserve">Apple gave third-party auditors and independent security researchers early access to Private Cloud Compute’s Virtual Research Environment (VRE) before public launch, then published PCC source code (CloudAttestation, Thimble, splunkloggingd, srd_tools) and expanded its Apple Security Bounty program to cover PCC — a substantive, verifiable independent-audit mechanism, not merely a self-published claim. Source: 9to5Mac, "Apple shares Private Cloud Compute resources for researchers, expands Bug Bounty rewards" (Oct 2024); The Register (Oct 2024); The Hacker News (Oct 2024).</t>
  </si>
  <si>
    <t xml:space="preserve">Apple Security Research, 'Security research on Private Cloud Compute' (24 Oct 2024): Apple released the PCC Security Guide, source code/binaries of key components, and a Virtual Research Environment so independent researchers can inspect and verify its privacy/security guarantees -- https://security.apple.com/blog/ (see 'Security research on Private Cloud Compute', 24 Oct 2024)</t>
  </si>
  <si>
    <t xml:space="preserve">HarmonyOS</t>
  </si>
  <si>
    <t xml:space="preserve">N/A</t>
  </si>
  <si>
    <t xml:space="preserve">HarmonyOS did not exist in 2015 (Huawei announced/launched it in August 2019, initially for smart-screen/TV devices only). Scored N/A per protocol, not 0, since 0 would incorrectly imply the platform existed but lacked the feature.</t>
  </si>
  <si>
    <t xml:space="preserve">HarmonyOS publicly launched Aug 2019 (Huawei Developer Conference); did not exist in 2015 -- https://en.wikipedia.org/wiki/HarmonyOS (per rubric Instructions sheet: N/A, not 0, for platforms that did not yet exist)</t>
  </si>
  <si>
    <t xml:space="preserve">By end of 2020, HarmonyOS existed only as a smart-TV/IoT-device OS (HarmonyOS 1.0, launched Aug 2019); it did not become a full smartphone/consumer OS comparable to the other three platforms in this study until HarmonyOS 2.0 launched publicly for smartphones in June 2021. Scored N/A rather than assessed, since a meaningful comparison to Apple/iOS, Fuchsia, and Windows as general-purpose consumer platforms is not applicable at this time point.</t>
  </si>
  <si>
    <t xml:space="preserve">Per reconciliation with co-author: HarmonyOS 2.0 was still developer-beta-only for smartphones at end of 2020 (beta started 16 Dec 2020, P40/Mate30/MatePad Pro only); public phone launch was 2 Jun 2021. Only shipped consumer product by end-2020 was the smart-TV/IoT HarmonyOS 1.0 line (Honor Vision, Aug 2019), not a general-purpose platform comparable to Apple/Windows. Rescored N/A (was previously scored) to match co-author's standard that a platform must be an evaluable, shipping general-purpose consumer OS for this comparison -- https://www.huaweicentral.com/harmonyos/amp/</t>
  </si>
  <si>
    <t xml:space="preserve">HarmonyOS (Next / 6.0) supports fingerprint and facial-recognition biometric authentication; the new Star Shield architecture (HarmonyOS 6, 2025) specifically enhances biometric-authentication integrity by coordinating on-device hardware (camera, GPS) and isolating authentication in a TEE. Source: Notebookcheck, "HarmonyOS 6 debuts with Star Shield security and AI agent support" (2025); Saint Augustine’s University security overview (2025).</t>
  </si>
  <si>
    <t xml:space="preserve">DEV Community, 'Practical Application of Face Liveness Detection... in HarmonyOS Next' (developer technical article, API 12) -- https://dev.to/xun_wang_6384a403f9817c2/practical-application-of-face-liveness-detection-and-card-certificate-recognition-in-the-smart-ccj -- confirms face liveness detection remains a documented HarmonyOS NEXT capability; fingerprint auth continues per Huawei device documentation.</t>
  </si>
  <si>
    <t xml:space="preserve">Documented "identity authentication service" combines password + fingerprint + verification code (a triple-factor model); the permission system additionally gates AI-sensitive and biometric actions behind explicit authorization. Source: DEV Community, "Talk about those ‘super secure’ operations of HarmonyOS Next" (security architecture overview).</t>
  </si>
  <si>
    <t xml:space="preserve">REVISED to 2 -- adopting co-author's primary source: HarmonyOS NEXT's 'identity authentication service' combines password + fingerprint + verification code (documented triple-factor model), with AI-sensitive/biometric actions gated behind explicit authorization. Source: DEV Community, 'Talk about those super secure operations of HarmonyOS Next' (per co-author).</t>
  </si>
  <si>
    <t xml:space="preserve">HarmonyOS employs a Trusted Execution Environment (TEE) and hardware-rooted trust via secure elements/security chips isolated from the kernel, supporting hardware-backed encryption keys and secure-boot processes that prevent unauthorized firmware modification. Source: Saint Augustine’s University, "HarmonyOS Security Unveiled" (2025); DarkNavy AVSS adversarial security evaluation of iOS/Android/HarmonyOS.</t>
  </si>
  <si>
    <t xml:space="preserve">PPC Land / HuaweiCentral coverage of HarmonyOS NEXT launch (23 Oct 2024) and Star Shield security architecture unveiling (21 Jun 2024 beta) -- https://ppc.land/huawei-launches-harmonyos-next-a-complete-break-from-android-ecosystem-in-2024/ ; https://huaweicentral.com/huawei-unveils-harmonyos-next-star-shield-security-for-better-privacy-protection -- Star Shield architecture explicitly covers 'system security, kernel security' and continues hardware-rooted secure boot; Huawei, official certification page -- https://consumer.huawei.com/cn/privacy/certification/ : states HarmonyOS NEXT obtained CCRC EAL5+ certification (Jun 2024), described as the highest security certification level currently achievable for a domestic (China) OS, plus ISO/IEC 42001:2023 (AI management systems) certification for Huawei Device Co. confirms continued CC/CCRC-level kernel certification.</t>
  </si>
  <si>
    <t xml:space="preserve">File-level encryption using different keys for different contexts protects data at rest, with key management handled via the Secure Enclave/TEE isolated from the kernel; AES symmetric encryption documented for bulk data storage. Source: DarkNavy AVSS Report (kernel-level evaluation); DEV Community HarmonyOS Next security overview.</t>
  </si>
  <si>
    <t xml:space="preserve">DEV Community, 'In-depth Analysis of the Security Assurance Mechanisms for Critical Asset Storage in HarmonyOS Next' -- https://dev.to/xun_wang_6384a403f9817c2/in-depth-analysis-of-the-security-assurance-mechanisms-for-critical-asset-storage-in-harmonyos-next-80f -- documents AES-256-GCM encryption for critical asset storage, keys cleared from memory immediately after use.</t>
  </si>
  <si>
    <t xml:space="preserve">The Star Shield architecture introduces "encrypted sharing options" for cross-device data transfer, and RSA asymmetric encryption is documented for key exchange during transmission. Source: Harmony Developers, "HarmonyOS Next officially released" (2025); DEV Community security overview.</t>
  </si>
  <si>
    <t xml:space="preserve">PPC Land / HuaweiCentral coverage of HarmonyOS NEXT launch (23 Oct 2024) and Star Shield security architecture unveiling (21 Jun 2024 beta) -- https://ppc.land/huawei-launches-harmonyos-next-a-complete-break-from-android-ecosystem-in-2024/ ; https://huaweicentral.com/huawei-unveils-harmonyos-next-star-shield-security-for-better-privacy-protection -- Star Shield 'initiates end-to-end data encryption when sharing files or other media content between multiple devices' and a hardware-level 'one key one password' mechanism per device; scope is cross-device sharing rather than general app network traffic, noted for caution.</t>
  </si>
  <si>
    <t xml:space="preserve">New AI-specific permissions (ohos.permission.ACCESS_LLM, ohos.permission.SAVE_AI_RESULT), introduced in 2025, gate on-device AI-model access and require explicit developer declaration, but the extent to which AI/assistant (Xiaoyi) processing occurs on-device versus in Huawei cloud services is not comprehensively documented in the same way as a formal "private cloud compute" guarantee. Source: DEV Community, "A Deep Guide to HarmonyOS Next Permission Management" (2025).</t>
  </si>
  <si>
    <t xml:space="preserve">PPC Land / HuaweiCentral coverage of HarmonyOS NEXT launch (23 Oct 2024) and Star Shield security architecture unveiling (21 Jun 2024 beta) -- https://ppc.land/huawei-launches-harmonyos-next-a-complete-break-from-android-ecosystem-in-2024/ ; https://huaweicentral.com/huawei-unveils-harmonyos-next-star-shield-security-for-better-privacy-protection -- HDC 2024 introduced 'Harmony Intelligence,' described as HarmonyOS NEXT's first integrated on-device AI capability, but no detailed public architecture document (comparable to Apple's Private Cloud Compute blog) describing what is processed on-device vs. cloud was found.</t>
  </si>
  <si>
    <t xml:space="preserve">The 2025 permission system explicitly categorizes AI-sensitive permissions (a dedicated AI_SENSITIVE tier in the four-level Permission Grading 3.0 model) and Huawei’s developer guidelines mandate a "Transparency Principle" requiring custom permission dialogs that clearly explain to users why AI-related data access is needed. Source: DEV Community, "A Deep Guide to HarmonyOS Next Permission Management" (2025).</t>
  </si>
  <si>
    <t xml:space="preserve">REVISED to 2 -- adopting co-author's primary source: HarmonyOS NEXT's Permission Grading 3.0 model has a dedicated AI_SENSITIVE permission tier, and Huawei's developer guidelines mandate a 'Transparency Principle' requiring custom permission dialogs that explain why AI-related data access is needed. Source: DEV Community, 'A Deep Guide to HarmonyOS Next Permission Management' (2025) (per co-author).</t>
  </si>
  <si>
    <t xml:space="preserve">Permission Grading 3.0 defines four distinct sensitivity tiers (Basic / Restricted / System-level / AI-sensitive) with per-permission, per-context enforcement; Star Shield is reported to have blocked over 8.6 billion "unreasonable" app permission requests across HarmonyOS’s history, indicating active, fine-grained enforcement rather than a nominal policy. Source: DEV Community permission-management guide (2025); Notebookcheck HarmonyOS 6 coverage (2025).</t>
  </si>
  <si>
    <t xml:space="preserve">PPC Land / HuaweiCentral coverage of HarmonyOS NEXT launch (23 Oct 2024) and Star Shield security architecture unveiling (21 Jun 2024 beta) -- https://ppc.land/huawei-launches-harmonyos-next-a-complete-break-from-android-ecosystem-in-2024/ ; https://huaweicentral.com/huawei-unveils-harmonyos-next-star-shield-security-for-better-privacy-protection -- Star Shield 'restricts 9 types of unreasonable permissions,' including reading the list of installed apps, accessing SMS, accessing storage, and creating home-screen shortcuts without cause.</t>
  </si>
  <si>
    <t xml:space="preserve">Independent third-party security research exists — notably DarkNavy’s adversarial security evaluation (AVSS Report) comparing iOS, Android, and HarmonyOS NEXT at the kernel level — but this is independent security research rather than a formal, recognized compliance certification (e.g., ISO/IEC 27001, SOC 2) of the kind documented for Apple or Microsoft’s platforms. Source: DarkNavy, "AVSS Report: System Security Adversarial Capability... of iOS, Android, and HarmonyOS" (2025).</t>
  </si>
  <si>
    <t xml:space="preserve">KEPT AT 2 -- this rests on a genuine formal certification (Huawei's official cert page: CCRC EAL5+, Jun 2024, plus ISO/IEC 42001:2023), which meets co-author's own stated bar for a '2' (formal, recognized compliance certification, as distinct from independent research). Co-author's file scores this a 1 citing DarkNavy's independent security research instead -- worth sharing this certification source with them, since it looks like a stronger match to their own standard than what they had on hand -- https://consumer.huawei.com/cn/privacy/certification/</t>
  </si>
  <si>
    <t xml:space="preserve">RECONCILED (was 1/2): Huawei holds formal CCRC EAL5+ (Jun 2024) and ISO/IEC 42001:2023 certifications -- genuine formal compliance certifications meeting the criterion's own bar for a 2, stronger than the DarkNavy independent-research citation originally used.</t>
  </si>
  <si>
    <t xml:space="preserve">Fuchsia</t>
  </si>
  <si>
    <t xml:space="preserve">Fuchsia did not exist in 2015; its first public code appeared on GitHub in August 2016. Scored N/A per protocol, not 0.</t>
  </si>
  <si>
    <t xml:space="preserve">Fuchsia's source code was first published by Google in August 2016 (no corporate announcement); did not exist in 2015 -- https://en.wikipedia.org/wiki/Fuchsia_(operating_system) (per rubric Instructions sheet: N/A, not 0, for platforms that did not yet exist)</t>
  </si>
  <si>
    <t xml:space="preserve">By end of 2020, Fuchsia existed only as an open-source development project (since Aug 2016) with no shipping consumer product; its first real-world deployment was a software update to the first-generation Google Nest Hub in May 2021 (rolled out more broadly by August 2021). Scored N/A rather than assessed, since it was not yet a usable, evaluable consumer platform at this time point.</t>
  </si>
  <si>
    <t xml:space="preserve">Per reconciliation with co-author: confirmed Fuchsia had zero shipped consumer product of any kind by end of 2020 -- its first-ever deployment (Nest Hub, Preview Program only) began 24-25 May 2021, wider rollout Aug 2021. Rescored N/A (was previously scored on documentation alone) since no evaluable product existed at this time point -- https://9to5google.com/2021/05/25/google-releases-fuchsia-os-nest-hub/</t>
  </si>
  <si>
    <t xml:space="preserve">Fuchsia currently ships only on Google Nest Hub smart-display devices (shared, ambient smart-home hardware), which do not include biometric sensors comparable to a phone or PC. No documentation of biometric authentication support was found. This absence likely reflects Fuchsia’s current device-category scope (shared smart displays) rather than a fundamental architectural gap — the same reason Fuchsia is excluded from this paper’s Usability NFR — and is flagged as such rather than treated as a straightforward security weakness. Source: fuchsia.dev "About Fuchsia" principles page; Wikipedia "Fuchsia (operating system)."</t>
  </si>
  <si>
    <t xml:space="preserve">No public Fuchsia project documentation describing this capability was found in this research (searches covered fuchsia.dev/fuchsia.googlesource.com project docs and independent technical writeups); scored per rubric's '0 = feature absent/undocumented' rather than left blank -- flagged for a follow-up search before use in the paper (biometric authentication -- Fuchsia's only commercial deployment, Google Nest Hub, has no biometric sensor).</t>
  </si>
  <si>
    <t xml:space="preserve">No documentation found of OS-level multi-factor authentication; Nest Hub devices are paired and managed via a Google account through a companion app rather than an on-device MFA mechanism comparable to Windows Hello for Business or Apple ID two-factor authentication. Likely reflects device-category scope (shared smart display, not a personally-authenticated device) rather than an architectural absence.</t>
  </si>
  <si>
    <t xml:space="preserve">No public Fuchsia project documentation describing this capability was found in this research (searches covered fuchsia.dev/fuchsia.googlesource.com project docs and independent technical writeups); scored per rubric's '0 = feature absent/undocumented' rather than left blank -- flagged for a follow-up search before use in the paper (multi-factor/account-level authentication).</t>
  </si>
  <si>
    <t xml:space="preserve">Fuchsia’s Zircon microkernel implements a capability-based security model in which processes have no ambient authority and can only access resources explicitly granted to them, providing strong OS-level isolation. However, no documentation of a hardware root-of-trust / secure-boot chain analogous to Apple’s Secure Enclave or Windows’ TPM 2.0 requirement was found in the sources consulted; the security model documented emphasizes software-level capability isolation rather than a hardware attestation chain. Source: fuchsia.dev "About Fuchsia"; Pagano, Verderame &amp; Merlo, "Understanding Fuchsia Security" (arXiv:2108.04183).</t>
  </si>
  <si>
    <t xml:space="preserve">Fuchsia project documentation, 'Verified Execution' -- https://fuchsia.googlesource.com/fuchsia/+/main/docs/concepts/security/verified_execution.md -- documents verified boot enforced by default: all executed code and input data verified against a hardware/ROM anchor, with hardware-based anti-rollback. (Kept at original independent assessment -- co-author did not locate this page and scored 1 based on capability-model docs alone; flagged as an open disagreement to resolve by confirming this page's applicable date.)</t>
  </si>
  <si>
    <t xml:space="preserve">RECONCILED (was 1/2): Fuchsia's official 'Verified Execution' documentation describes verified boot enforced by default with a hardware/ROM anchor and anti-rollback protection -- a genuine hardware root of trust not located in the original research.</t>
  </si>
  <si>
    <t xml:space="preserve">General-purpose encryption capabilities are implied by Fuchsia’s security-oriented design and hermetic package model, but specific default-on, full-disk/file-level encryption-at-rest documentation comparable to BitLocker or iOS Data Protection was not found in the sources consulted. Source: InvGate "Fuchsia OS" security-status summary (secondary source; primary Google documentation on this specific point was not located).</t>
  </si>
  <si>
    <t xml:space="preserve">Fuchsia RFC-0157, 'Fxfs encryption and multi-volume support' (accepted 2022-04-28) -- https://fuchsia.dev/fuchsia-src/contribute/governance/rfcs/0157_fxfs_encryption_and_multi_volume_support : Fxfs (Fuchsia's current default filesystem) provides built-in per-file encryption with keys bound to per-user credentials, superseding zxcrypt. (Kept at original independent assessment -- co-author treats an accepted RFC as insufficient confirmation of shipped default behavior; noted as an open disagreement on evidentiary bar rather than adopted.)</t>
  </si>
  <si>
    <t xml:space="preserve">RECONCILED (was 1/2): RFC-0157 documents Fxfs (Fuchsia's current default filesystem) providing built-in per-file encryption bound to per-user credentials; described as the current default, not merely a design proposal.</t>
  </si>
  <si>
    <t xml:space="preserve">Fuchsia’s update mechanism uses an HTTP/S manifest-driven OTA flow (per Fuchsia F28 release notes, Oct 2025), implying encrypted transport for system updates, but no comprehensive default-on network-encryption policy documentation for general app/data traffic was found. Source: Fuchsia F28 release notes (via awesome-ocap tracking repository, 2025).</t>
  </si>
  <si>
    <t xml:space="preserve">REVISED to 1 -- adopting co-author's finding: Fuchsia's OTA update mechanism uses an HTTPS-based manifest-driven flow (per Fuchsia F28 release notes, Oct 2025), implying encrypted transport for system updates specifically, though no comprehensive default-on network-encryption policy for general app/data traffic was found. Source: Fuchsia F28 release notes via awesome-ocap tracking repo (per co-author).</t>
  </si>
  <si>
    <t xml:space="preserve">Nest Hub devices running Fuchsia rely on Google Assistant for voice/AI functionality, which is a cloud-based service governed by Google Assistant/Google account privacy policies rather than a documented Fuchsia-OS-level on-device or private-processing guarantee. No Fuchsia-specific on-device AI processing model was found.</t>
  </si>
  <si>
    <t xml:space="preserve">No public Fuchsia project documentation describing this capability was found in this research (searches covered fuchsia.dev/fuchsia.googlesource.com project docs and independent technical writeups); scored per rubric's '0 = feature absent/undocumented' rather than left blank -- flagged for a follow-up search before use in the paper (on-device/private processing of sensitive data -- no Fuchsia AI-assistant feature was found documented in this research).</t>
  </si>
  <si>
    <t xml:space="preserve">No Fuchsia-OS-specific public documentation of AI/data-handling transparency was found; voice-assistant data handling on Nest Hub devices is governed by general Google Assistant privacy documentation rather than a Fuchsia-specific transparency mechanism analogous to Apple’s Private Cloud Compute documentation or Microsoft’s Copilot Privacy FAQ.</t>
  </si>
  <si>
    <t xml:space="preserve">No public Fuchsia project documentation describing this capability was found in this research (searches covered fuchsia.dev/fuchsia.googlesource.com project docs and independent technical writeups); scored per rubric's '0 = feature absent/undocumented' rather than left blank -- flagged for a follow-up search before use in the paper (transparency of AI/data handling).</t>
  </si>
  <si>
    <t xml:space="preserve">The capability-based security model is Fuchsia’s most thoroughly documented security feature: software has "no ambient authority," every capability (classified into seven types: Directory, Event, Protocol, Resolver, Runner, etc.) must be explicitly routed to a component, and this is enforced at the kernel level rather than as a policy layer. This is a genuinely fine-grained, actively-developed permission model (Fuchsia F26/F29 release notes, 2025–2026, show continued refinement of explicit capability routing). Source: fuchsia.dev "About Fuchsia"; Pagano, Verderame \&amp; Merlo (2021); awesome-ocap Fuchsia release-note tracking (2025–2026).</t>
  </si>
  <si>
    <t xml:space="preserve">REVISED to 2 -- adopting co-author's more detailed sourcing: the capability-based model is Fuchsia's most thoroughly documented security feature (processes have 'no ambient authority'; capabilities span 7 explicit types -- Directory, Event, Protocol, Resolver, Runner, etc. -- enforced at the kernel level), with continued refinement shown in 2025-26 release notes. Sources: fuchsia.dev 'About Fuchsia'; Pagano, Verderame &amp; Merlo (2021); awesome-ocap Fuchsia release-note tracking 2025-26 (per co-author).</t>
  </si>
  <si>
    <t xml:space="preserve">Independent academic security research exists — notably Pagano, Verderame, and Merlo’s peer-reviewed analysis "Understanding Fuchsia Security" — but this is independent research rather than a formal, recognized compliance certification (e.g., ISO/IEC 27001, SOC 2) of the kind documented for Apple or Microsoft’s platforms. Consistent with the same distinction applied to HarmonyOS’s DarkNavy research (also scored 1 on this criterion). Source: Pagano, Verderame &amp; Merlo, "Understanding Fuchsia Security" (arXiv:2108.04183).</t>
  </si>
  <si>
    <t xml:space="preserve">No public Fuchsia project documentation describing an independent audit or formal certification was found in this research (searches covered fuchsia.dev/fuchsia.googlesource.com and independent technical writeups). (Kept at original independent assessment -- co-author credits peer-reviewed academic security research, e.g. Pagano/Verderame/Merlo, as worth a 1 rather than 0; open disagreement on whether academic research counts toward this criterion.)</t>
  </si>
  <si>
    <t xml:space="preserve">RECONCILED (was 1/0): kept at 1 for consistency with how HarmonyOS's DarkNavy commercial security research was scored (also 1, not 2) -- independent research, including academic research such as Pagano et al., merits partial credit but is not a formal certification.</t>
  </si>
  <si>
    <t xml:space="preserve">Windows</t>
  </si>
  <si>
    <t xml:space="preserve">Windows 10 RTM (July 2015) launched with Windows Hello supporting both fingerprint readers and IR-camera facial recognition (e.g., Intel RealSense) on compatible hardware. Source: Grokipedia "Features new to Windows 10" (Version 1507); Wikipedia "Windows 10" article.</t>
  </si>
  <si>
    <t xml:space="preserve">Microsoft, 'Making Windows 10 More Personal and More Secure with Windows Hello' (17 Mar 2015) -- https://blogs.windows.com/windowsexperience/2015/03/17/making-windows-10-more-personal-and-more-secure-with-windows-hello/ : Windows Hello ships with Windows 10 (Jul 2015) supporting fingerprint, face (IR-based, anti-spoofing), and iris recognition; biometric data 'stored locally on the device' and never transmitted.</t>
  </si>
  <si>
    <t xml:space="preserve">At launch, multi-factor authentication was provided by Windows Hello plus Microsoft Passport (device-bound key + biometric/PIN), later merged into Windows Hello. Source: Wikipedia "Windows 10" article (Hardware requirements / Security section).</t>
  </si>
  <si>
    <t xml:space="preserve">Shelly Palmer / Neowin coverage of Microsoft's 'two-step verification' launch (Apr 2013) -- explicitly described as 'optional' for Microsoft account users; unchanged status by 2015. (Kept at original independent assessment -- co-author scores this via device-level Windows Hello + Passport rather than account-level 2FA; open disagreement on which mechanism A2 should be evaluated against.)</t>
  </si>
  <si>
    <t xml:space="preserve">RECONCILED (was 2/1): kept at 2 -- Windows Hello + Microsoft Passport at RTM constitutes genuine device-level MFA (device-bound key + biometric/PIN), distinct from the account-level Microsoft-account 2-step verification (which was indeed optional). A different, valid mechanism satisfies the criterion; not a factual error.</t>
  </si>
  <si>
    <t xml:space="preserve">UEFI Secure Boot was inherited from Windows 8 and present, but a TPM was NOT a mandatory requirement for Windows 10 installation in 2015 (Windows Hello could run in a software-only mode without TPM); hardware root of trust was an optional enhancement, not enforced by default across all devices. Source: Digital Trends, "Microsoft just made hardware encryption part of Windows 10’s minimum requirements" (2015 — describing TPM as a NEW, not yet universal, requirement); Microsoft "How Windows uses the TPM" documentation.</t>
  </si>
  <si>
    <t xml:space="preserve">REVISED to 1 -- adopting co-author's more precise distinction: UEFI Secure Boot was indeed default-on (inherited from Windows 8), but a TPM was NOT a mandatory requirement for Windows 10 in 2015 -- Windows Hello could run TPM-less in software-only mode, and hardware-backed TPM security was described as a *new*, not-yet-universal requirement circa 2015. Full hardware root of trust wasn't mandatory until Windows 11 (2021). Source: Digital Trends, 'Microsoft just made hardware encryption part of Windows 10's minimum requirements' (2015); Microsoft 'How Windows uses the TPM' (per co-author).</t>
  </si>
  <si>
    <t xml:space="preserve">BitLocker was available, but automatic "Device Encryption" activated only on InstantGo-capable devices signed in with a Microsoft account — a limited hardware subset, not on by default across all Windows 10 devices in 2015. Source: Grokipedia "Features new to Windows 10" (Version 1507 System Settings and Security).</t>
  </si>
  <si>
    <t xml:space="preserve">Wikipedia, 'BitLocker' (sourced to Microsoft documentation) -- https://en.wikipedia.org/wiki/BitLocker : BitLocker itself is a Pro/Enterprise-only feature the user must enable; the automatic 'device encryption' variant is available only on InstantGo/Connected Standby-certified hardware with a TPM -- not on-by-default for most PCs in 2015.</t>
  </si>
  <si>
    <t xml:space="preserve">TLS was used for Windows Update and telemetry channels, but comprehensive default-on network encryption was not documented or audited at the granularity seen in later years. Score reflects partial/undocumented status rather than absence.</t>
  </si>
  <si>
    <t xml:space="preserve">No Windows-wide policy enforcing encrypted network connections by default (comparable to Apple's ATS) was found for this era; SChannel supported TLS 1.2 by this point but usage was not mandated for apps -- scored partial. Flagged for a more targeted search if precision matters for the paper.</t>
  </si>
  <si>
    <t xml:space="preserve">Cortana (introduced with Windows 10 in 2015) required broad collection of personal data — device location, calendar data, app usage, email and text content, contacts — processed via Microsoft’s cloud to personalize functionality; no significant on-device processing model was documented. Source: Wikipedia "Criticism of Microsoft Windows" (Cortana data collection section).</t>
  </si>
  <si>
    <t xml:space="preserve">Cortana (launched with Windows 10, Jul 2015) was a cloud/Bing-powered assistant; Microsoft's own later Privacy Dashboard documentation (https://winaero.com/use-microsoft-privacy-dashboard-manage-privacy-windows-10) describes Cortana interaction data (search history, notebook contents) as centrally collected -- no strong on-device processing documented for this era.</t>
  </si>
  <si>
    <t xml:space="preserve">Windows 10’s July 2015 launch drew immediate, sustained criticism for telemetry ("Feedback &amp; diagnostics") that could NOT be fully disabled on Home or Pro editions, with no meaningful opt-out; the Electronic Frontier Foundation publicly urged Microsoft to "come clean" over undisclosed data collection. No diagnostic-transparency tool existed yet (the Diagnostic Data Viewer was not introduced until later). Source: Computerworld, "EFF condemns Windows 10 data collection" (2015); Wikipedia "Criticism of Microsoft Windows."</t>
  </si>
  <si>
    <t xml:space="preserve">Windows 10 (2015) included a Cortana privacy statement and in-Settings controls, but Microsoft's dedicated online Privacy Dashboard did not launch until 2017/2018 -- limited documentation at this time point relative to later years. (Kept at original independent assessment -- co-author weights the EFF's contemporaneous telemetry criticism as evidence of 0; open disagreement on whether documented controversy should count against a documentation-presence score.)</t>
  </si>
  <si>
    <t xml:space="preserve">RECONCILED (was 0/1): kept at 0 -- the EFF's contemporaneous, documented condemnation of undisclosed, non-optional telemetry on Home/Pro editions is strong evidence of inadequate transparency at this time point.</t>
  </si>
  <si>
    <t xml:space="preserve">A Universal Windows Platform (Store app) permission model existed for camera/location/etc. at launch, but legacy Win32 desktop applications had no OS-level permission gating, and there was no unified, granular per-app privacy control surface for the end user in 2015 (that arrived with the Fall Creators Update in 2017). Assessed as partial/coarse for 2015.</t>
  </si>
  <si>
    <t xml:space="preserve">REVISED to 1 -- adopting co-author's more precise distinction: the per-app Location/Camera/Microphone permission model at Windows 10 launch applied to Universal Windows Platform (Store) apps only -- legacy Win32 desktop applications, which made up the vast majority of software in use in 2015, had no OS-level permission gating at all. A unified, granular control surface across both app types didn't arrive until the 2017 Fall Creators Update. Assessed as partial/coarse for 2015 (per co-author).</t>
  </si>
  <si>
    <t xml:space="preserve">Microsoft’s enterprise cloud services held some third-party certifications by 2015, but this was not documented or marketed at the consumer Windows 10 / telemetry level; independent regulatory scrutiny that later examined these specific practices (the Dutch Data Protection Authority) found them non-compliant with informed-consent requirements, suggesting no adequate compliance documentation existed for this practice at the time. Source: TechCrunch, "Microsoft’s Windows 10 breaches privacy law, says Dutch DPA" (2017 finding, concerning practices dating to the 2015 launch).</t>
  </si>
  <si>
    <t xml:space="preserve">Microsoft, 'Common Criteria certifications' -- https://learn.microsoft.com/en-us/windows/security/security-foundations/certification/windows-platform-common-criteria -- lists NIAP Common Criteria certification for Windows 10 version 1507 (initial release), plus continuous FIPS 140 validation. (Kept at original independent assessment -- co-author requires the certification to cover the specific telemetry practice under scrutiny, citing the 2017 Dutch DPA finding as evidence it didn't; open disagreement on certification scope.)</t>
  </si>
  <si>
    <t xml:space="preserve">RECONCILED (was 1/2): Windows 10 version 1507 held NIAP Common Criteria certification at initial release plus FIPS 140 validation -- genuine formal certifications, a different scope from the Dutch DPA's telemetry-consent finding; both can be true simultaneously.</t>
  </si>
  <si>
    <t xml:space="preserve">By 2020, Windows Hello facial and fingerprint recognition were mature, standard features with broad OEM hardware support. Continuation of the 2015 capability, now more widely deployed.</t>
  </si>
  <si>
    <t xml:space="preserve">Windows Hello continues as a core feature (Windows Hello for Business matures through this period); same modalities and on-device/anti-spoofing design as 2015, now with broader IR-camera hardware support.</t>
  </si>
  <si>
    <t xml:space="preserve">Windows Hello for Business, integrated with Azure AD (now Microsoft Entra ID), was the standard enterprise MFA mechanism by 2020, combining a device-bound cryptographic key with biometric/PIN. Source: Microsoft Windows Hello for Business documentation (long-standing feature by 2020).</t>
  </si>
  <si>
    <t xml:space="preserve">Pureinfotech / Microsoft support documentation on two-step verification shows continued integration with the dedicated Microsoft Authenticator app across Microsoft account, Outlook, and Windows sign-in by 2020 -- broadly supported, though still opt-in for personal accounts -- https://pureinfotech.com/enable-two-step-verification-microsoft-account/</t>
  </si>
  <si>
    <t xml:space="preserve">Following Microsoft’s Windows Hardware Compatibility Program requirement (effective July 2016) that new Windows 10 device certifications include a TPM 2.0 chip, TPM had become a de facto standard on new PCs shipped by 2020, alongside UEFI Secure Boot — a meaningfully stronger hardware root of trust than at 2015 launch. Source: Microsoft "TPM recommendations" documentation; general OEM certification requirements timeline.</t>
  </si>
  <si>
    <t xml:space="preserve">Same OEM Secure Boot requirement (in force since Windows 8) continues unchanged through Windows 10 in 2020.</t>
  </si>
  <si>
    <t xml:space="preserve">Device Encryption requirements were relaxed starting with the Anniversary Update (Version 1607, 2016), extending BitLocker-like automatic encryption to a broader range of hardware including Windows 10 Home, tied to a Microsoft account rather than requiring InstantGo-specific hardware. Source: Grokipedia "Features new to Windows 10" (Version 1607 entry).</t>
  </si>
  <si>
    <t xml:space="preserve">REVISED to 2 -- adopting co-author's finding: Device Encryption eligibility was broadened starting with the Anniversary Update (v1607, 2016), extending automatic BitLocker-like encryption to a wider range of hardware including Windows 10 Home, tied to a Microsoft account rather than requiring specific InstantGo/Connected-Standby hardware as in 2015. Source: Grokipedia 'Features new to Windows 10', v1607 entry (per co-author).</t>
  </si>
  <si>
    <t xml:space="preserve">TLS 1.2 was the enforced standard for Windows Update, telemetry, and Microsoft account sign-in traffic by 2020, consistent with broader industry-wide TLS 1.0/1.1 deprecation efforts underway in this period.</t>
  </si>
  <si>
    <t xml:space="preserve">SecurityWeek, 'Microsoft Enables TLS 1.3 by Default in Windows 10 Insider Preview' -- TLS 1.3 becomes default-enabled around 2020, but no OS-wide policy mandating encrypted connections for all apps (unlike Apple's ATS) was found for this time point. (Kept at original independent assessment -- co-author counts enforcement on core OS traffic, e.g. Windows Update/sign-in, as sufficient for 'enforced by default'; open disagreement on scope required.)</t>
  </si>
  <si>
    <t xml:space="preserve">RECONCILED (was 2/1): kept at 2 -- TLS 1.2 enforcement across core OS channels (Update, sign-in, telemetry) satisfies 'enforced by default' consistent with how other platforms were scored absent a literal blanket app-level policy.</t>
  </si>
  <si>
    <t xml:space="preserve">Cortana’s prominence declined through 2019–2020 (decoupled from Windows Search in the May 2020 Update) and its cloud-dependent architecture was largely unchanged; no substantial on-device/private-processing model for voice or personalization existed yet — that capability did not mature until the NPU-equipped Copilot+ PC era beginning in 2024. Assessed as still limited (not 0, since Cortana’s footprint and associated data collection had reduced by 2020).</t>
  </si>
  <si>
    <t xml:space="preserve">No documentation of significant on-device processing of sensitive/AI-type data was found for Windows in 2020; Cortana remained cloud-based and was being de-emphasized as a consumer assistant. (Kept at original independent assessment -- co-author credits Cortana's declining footprint as partial evidence of 1; open disagreement on whether a shrinking cloud feature counts as partial on-device processing.)</t>
  </si>
  <si>
    <t xml:space="preserve">RECONCILED (was 1/0): a shrinking, still-fully-cloud-dependent feature (Cortana's declining usage) is not itself evidence of on-device processing capability -- the stricter reading is the more logically precise one.</t>
  </si>
  <si>
    <t xml:space="preserve">Microsoft introduced the Diagnostic Data Viewer (~2017) and a "Basic" telemetry level (~2018), along with an online privacy dashboard (launched January 2017), meaningfully improving transparency versus 2015. However, telemetry still could not be fully disabled on non-Enterprise editions, and the Dutch DPA’s October 2017 ruling found Windows 10’s telemetry practices breached informed-consent requirements — a finding still relevant to the 2020 state of the practice. Source: Fortune, "Microsoft tweaks Windows 10’s privacy controls" (2017); TechCrunch Dutch DPA report (2017).</t>
  </si>
  <si>
    <t xml:space="preserve">Winaero, 'Use Microsoft Privacy Dashboard to Manage Privacy on Windows 10' -- the online Privacy Dashboard documents browsing/search history, location activity, and Cortana Notebook data with per-category detail and deletion controls. (Kept at original independent assessment -- co-author weights the 2017 Dutch DPA non-compliance finding as capping this at 1; open disagreement on whether a documentation tool's existence is capped by a regulatory finding about a different practice.)</t>
  </si>
  <si>
    <t xml:space="preserve">RECONCILED (was 1/2): the detailed, per-category online Privacy Dashboard (browsing history, location, Cortana Notebook data, deletion controls) is genuine, strong transparency documentation; the Dutch DPA's 2017 finding is now weighted under T3 instead, avoiding double-counting the same concern.</t>
  </si>
  <si>
    <t xml:space="preserve">The Fall Creators Update (Version 1709, October 2017) introduced a unified, granular per-app permission model (camera, microphone, location, contacts, etc.) for both UWP and increasingly for traditional desktop apps, which was mature and standard by 2020. A meaningful improvement over 2015.</t>
  </si>
  <si>
    <t xml:space="preserve">PCWorld, 'Windows 10 privacy settings: what's new in the Creators Update' (2017) -- https://www.pcworld.com/article/406436/windows-10-privacy-settings-whats-new-in-the-creators-update.html : per-app Location/Camera/Microphone permission model matured further, with in-Settings explanations and links to manage cloud-stored activity data.</t>
  </si>
  <si>
    <t xml:space="preserve">As in 2015, no OS-level, publicly documented independent audit specific to consumer Windows 10 telemetry/privacy practices was evident; the 2017 Dutch DPA finding of non-compliance was the most prominent independent regulatory assessment of this specific practice and remained a live concern into 2020. Assessed the same as 2015 pending further documentary evidence of remediation-specific certification.</t>
  </si>
  <si>
    <t xml:space="preserve">Microsoft, 'Common Criteria certifications' + FIPS 140 validation, continuing through Windows 10 version 2004/20H2 (2020) and beyond. (Kept at original independent assessment -- same open disagreement as the 2015 T3 cell, on certification scope vs. the Dutch DPA finding.)</t>
  </si>
  <si>
    <t xml:space="preserve">RECONCILED (was 1/2): same reasoning as the 2015 T3 resolution -- continuing NIAP Common Criteria and FIPS 140 validation are genuine formal certifications, a different scope from the DPA's telemetry-specific finding.</t>
  </si>
  <si>
    <t xml:space="preserve">Windows Hello supports face and fingerprint recognition with liveness detection (depth-sensing IR camera); biometric templates stored/processed via TPM. Source: Windows 11 Secured-core PCs documentation (learn.microsoft.com/windows-hardware/design/device-experiences/oem-highly-secure-11); windowsnews.ai TPM/Windows Hello analysis (2025).</t>
  </si>
  <si>
    <t xml:space="preserve">Windows Hello continues as a core feature into Windows 11, now also underpinning passkey support; same on-device biometric storage model as earlier years.</t>
  </si>
  <si>
    <t xml:space="preserve">Windows Hello for Business is inherently two-factor (device-bound cryptographic key + biometric/PIN), broadly integrated across Microsoft 365 / Entra ID sign-in. Source: Microsoft Windows Hello for Business documentation; Farke et al. 2022 (USENIX SOUPS) empirical study of WHfB deployment.</t>
  </si>
  <si>
    <t xml:space="preserve">Two-step verification / Microsoft Authenticator remains broadly integrated across Microsoft account and Windows sign-in; enterprise (Entra ID) conditional-access policies can mandate MFA, though personal-account MFA remains opt-in.</t>
  </si>
  <si>
    <t xml:space="preserve">TPM 2.0 and UEFI Secure Boot are mandatory requirements for Windows 11, providing a hardware root of trust; Secured-core PCs add further firmware-attack protection. Source: learn.microsoft.com/windows-hardware/design/device-experiences/oem-highly-secure-11 (2025).</t>
  </si>
  <si>
    <t xml:space="preserve">Microsoft, Windows 11 system requirements -- TPM 2.0 is now a hard OS requirement for Windows 11 (not just an OEM Secure Boot recommendation as in the Windows 8/10 era) -- a stronger hardware-root-of-trust requirement than 2015/2020.</t>
  </si>
  <si>
    <t xml:space="preserve">BitLocker full-disk encryption is available and "Device Encryption" is auto-enabled by default only on modern hardware meeting Modern Standby/TPM requirements (mainly Home edition, OEM-shipped); Pro/Enterprise typically requires manual activation or MDM policy — not uniformly on by default across all SKUs. Source: Microsoft BitLocker/Device Encryption documentation; Windows 11 Compatibility Guide (windowsforum.com, 2025).</t>
  </si>
  <si>
    <t xml:space="preserve">REVISED to 1 -- adopting co-author's more precise SKU-level caveat: Windows 11 24H2's 'auto device encryption' is auto-enabled mainly on Home-edition, OEM-shipped modern hardware meeting Modern Standby/TPM requirements -- Pro/Enterprise editions typically still require manual activation or MDM policy, so it is not uniformly on-by-default across all editions/SKUs. Source: Microsoft BitLocker/Device Encryption documentation; Windows 11 Compatibility Guide, windowsforum.com 2025 (per co-author).</t>
  </si>
  <si>
    <t xml:space="preserve">TLS/HTTPS enforced by default across Microsoft 365 and Windows update/sync channels (OneDrive, Windows Update, Copilot traffic). Source: Microsoft 365 Copilot data protection architecture documentation (learn.microsoft.com/microsoft-365/copilot/microsoft-365-copilot-architecture-data-protection-auditing, 2025).</t>
  </si>
  <si>
    <t xml:space="preserve">Neowin, 'Microsoft says SMB signing by default is coming to more editions of Windows' (2023-24 rollout) -- https://www.neowin.net/news/microsoft-says-smb-signing-by-default-is-coming-to-more-editions-of-windows/ -- combined with TLS 1.3 as the default protocol (rolled out from ~2020), core Windows networking protocols are now encrypted/signed by default, though this is still narrower in scope than an OS-wide, ATS-style mandate for all third-party app traffic.</t>
  </si>
  <si>
    <t xml:space="preserve">Copilot+ PCs perform some on-device/NPU inference (e.g., Recall, some image features), but the majority of Windows Copilot query processing is routed to Microsoft cloud services; no comprehensive "private cloud compute"-style guarantee is documented as of 2025/26. Source: Microsoft 365 Copilot data protection architecture documentation (2025); Privacy FAQ for Microsoft Copilot (support.microsoft.com).</t>
  </si>
  <si>
    <t xml:space="preserve">WindowsLatest, 'Copilot+ PCs explained' (May 2024) -- Microsoft confirmed that all Recall snapshot processing and storage are done on the PC (NPU-based), opt-in and disabled by default. (Kept at original independent assessment -- co-author requires a comprehensive, PCC-style architecture guarantee across all Copilot features, not just Recall, for a '2'; open disagreement on criterion scope: one strong documented feature vs. full-platform coverage.)</t>
  </si>
  <si>
    <t xml:space="preserve">RECONCILED (was 1/2): Recall's confirmed 100% on-device/NPU-based processing (opt-in, off by default) is a strong, concrete example of on-device handling of sensitive data, scored consistently with how Apple's Private Cloud Compute -- which also does not cover 100% of Apple Intelligence -- was credited a 2.</t>
  </si>
  <si>
    <t xml:space="preserve">Microsoft publishes a detailed public Privacy FAQ for Copilot specifying what data is/is not used for model training, biometric-data handling and consent, and a Responsible AI transparency note for Copilot services. Source: support.microsoft.com/microsoft-copilot/privacy-faq-for-microsoft-copilot (2025); learn.microsoft.com/copilot/security/faq-data-compliance (Responsible AI FAQ).</t>
  </si>
  <si>
    <t xml:space="preserve">TechPowerUp coverage of Microsoft's official blog post 'Update on Recall security and privacy architecture' (2024) -- https://techpowerup.com/forums/goto/post?id=5340451 : Microsoft published a detailed public architecture document for Recall specifying encryption requirements (BitLocker/Device Encryption, TPM 2.0, VBS, Measured Boot) and that the feature is opt-in and off by default.</t>
  </si>
  <si>
    <t xml:space="preserve">Windows provides fine-grained per-app permission controls (camera, microphone, location, file system access); Copilot in Microsoft 365 respects existing SharePoint/OneDrive granular access-control and sensitivity-label permissions rather than a blanket grant. Source: Microsoft 365 Copilot data protection architecture documentation (2025).</t>
  </si>
  <si>
    <t xml:space="preserve">Same source as T1: Recall ships opt-in/off-by-default with granular controls (per-app/site exclusion, pause, filtering) documented in Microsoft's Recall privacy architecture materials, layered on the existing per-app Settings &gt; Privacy permission model.</t>
  </si>
  <si>
    <t xml:space="preserve">Microsoft 365 and Azure undergo independent third-party SOC 2 Type 2 audits (AICPA Trust Services Criteria) and hold ISO/IEC 27001:2022 certification, both publicly documented with audit reports available via the Microsoft Trust Center / Service Trust Portal. Source: learn.microsoft.com/azure/compliance/offerings/offering-soc-2; offering-iso-27001 (2025).</t>
  </si>
  <si>
    <t xml:space="preserve">Microsoft, 'Common Criteria certifications' -- https://learn.microsoft.com/en-us/windows/security/security-foundations/certification/windows-platform-common-criteria (lists NIAP Common Criteria certifications for Windows 10 version 1507/initial release through current releases) and 'Windows FIPS 140 validation' -- https://support.microsoft.com/kb/811833 (Microsoft cryptographic modules continuously validated under NIST/CCCS's Cryptographic Module Validation Program since FIPS 140 was established in 2001) -- genuine independent third-party certification, not self-reported. Certifications continue for current Windows 11 releases per Microsoft's official certification page.</t>
  </si>
  <si>
    <t xml:space="preserve">Security / Privacy Posture by Platform and Time Point (auto-calculated from Scoring sheet)</t>
  </si>
  <si>
    <t xml:space="preserve">Platform</t>
  </si>
  <si>
    <t xml:space="preserve">2015
Total</t>
  </si>
  <si>
    <t xml:space="preserve">2015
Scored (n)</t>
  </si>
  <si>
    <t xml:space="preserve">2015
Avg /2</t>
  </si>
  <si>
    <t xml:space="preserve">2020
Total</t>
  </si>
  <si>
    <t xml:space="preserve">2020
Scored (n)</t>
  </si>
  <si>
    <t xml:space="preserve">2020
Avg /2</t>
  </si>
  <si>
    <t xml:space="preserve">2025/26
Total</t>
  </si>
  <si>
    <t xml:space="preserve">2025/26
Scored (n)</t>
  </si>
  <si>
    <t xml:space="preserve">2025/26
Avg /2</t>
  </si>
  <si>
    <t xml:space="preserve">Total = sum of 0/1/2 scores for that platform and time point. Scored (n) = number of criteria actually scored (N/A and blanks excluded). Avg /2 = Total / (Scored × 2), i.e., posture as a percentage of the maximum possible. N/A cells (platform did not exist) are excluded so early time points are not unfairly penalized.</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</si>
</sst>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Calibri"/>
      <family val="0"/>
      <charset val="1"/>
    </font>
    <font>
      <sz val="11"/>
      <color rgb="FF000000"/>
      <name val="Calibri"/>
      <family val="0"/>
      <charset val="1"/>
    </font>
    <font>
      <b val="true"/>
      <sz val="12"/>
      <color rgb="FF1F4E78"/>
      <name val="Calibri"/>
      <family val="0"/>
      <charset val="1"/>
    </font>
    <font>
      <b val="true"/>
      <sz val="11"/>
      <color rgb="FFFFFFFF"/>
      <name val="Calibri"/>
      <family val="0"/>
      <charset val="1"/>
    </font>
    <font>
      <sz val="10"/>
      <name val="Calibri"/>
      <family val="0"/>
      <charset val="1"/>
    </font>
    <font>
      <b val="true"/>
      <sz val="13"/>
      <color rgb="FF1F4E78"/>
      <name val="Calibri"/>
      <family val="0"/>
      <charset val="1"/>
    </font>
    <font>
      <b val="true"/>
      <sz val="11"/>
      <name val="Calibri"/>
      <family val="0"/>
      <charset val="1"/>
    </font>
    <font>
      <i val="true"/>
      <sz val="9"/>
      <color rgb="FF808080"/>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DDEBF7"/>
        <bgColor rgb="FFE2EFDA"/>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8" activeCellId="0" sqref="A18"/>
    </sheetView>
  </sheetViews>
  <sheetFormatPr defaultColWidth="8.71484375" defaultRowHeight="15" zeroHeight="false" outlineLevelRow="0" outlineLevelCol="0"/>
  <cols>
    <col collapsed="false" customWidth="true" hidden="false" outlineLevel="0" max="1" min="1" style="0" width="127.42"/>
  </cols>
  <sheetData>
    <row r="1" customFormat="false" ht="15.75" hidden="false" customHeight="true" outlineLevel="0" collapsed="false">
      <c r="A1" s="1" t="s">
        <v>0</v>
      </c>
    </row>
    <row r="2" customFormat="false" ht="15.75" hidden="false" customHeight="true" outlineLevel="0" collapsed="false">
      <c r="A2" s="2"/>
    </row>
    <row r="3" customFormat="false" ht="15.75" hidden="false" customHeight="true" outlineLevel="0" collapsed="false">
      <c r="A3" s="3" t="s">
        <v>1</v>
      </c>
    </row>
    <row r="4" customFormat="false" ht="30" hidden="false" customHeight="true" outlineLevel="0" collapsed="false">
      <c r="A4" s="2" t="s">
        <v>2</v>
      </c>
    </row>
    <row r="5" customFormat="false" ht="15.75" hidden="false" customHeight="true" outlineLevel="0" collapsed="false">
      <c r="A5" s="2"/>
    </row>
    <row r="6" customFormat="false" ht="15.75" hidden="false" customHeight="true" outlineLevel="0" collapsed="false">
      <c r="A6" s="3" t="s">
        <v>3</v>
      </c>
    </row>
    <row r="7" customFormat="false" ht="30" hidden="false" customHeight="true" outlineLevel="0" collapsed="false">
      <c r="A7" s="2" t="s">
        <v>4</v>
      </c>
    </row>
    <row r="8" customFormat="false" ht="30" hidden="false" customHeight="true" outlineLevel="0" collapsed="false">
      <c r="A8" s="2" t="s">
        <v>5</v>
      </c>
    </row>
    <row r="9" customFormat="false" ht="15.75" hidden="false" customHeight="true" outlineLevel="0" collapsed="false">
      <c r="A9" s="2"/>
    </row>
    <row r="10" customFormat="false" ht="15.75" hidden="false" customHeight="true" outlineLevel="0" collapsed="false">
      <c r="A10" s="3" t="s">
        <v>6</v>
      </c>
    </row>
    <row r="11" customFormat="false" ht="30" hidden="false" customHeight="true" outlineLevel="0" collapsed="false">
      <c r="A11" s="2" t="s">
        <v>7</v>
      </c>
    </row>
    <row r="12" customFormat="false" ht="30" hidden="false" customHeight="true" outlineLevel="0" collapsed="false">
      <c r="A12" s="2" t="s">
        <v>8</v>
      </c>
    </row>
    <row r="13" customFormat="false" ht="30" hidden="false" customHeight="true" outlineLevel="0" collapsed="false">
      <c r="A13" s="2" t="s">
        <v>9</v>
      </c>
    </row>
    <row r="14" customFormat="false" ht="30" hidden="false" customHeight="true" outlineLevel="0" collapsed="false">
      <c r="A14" s="2" t="s">
        <v>10</v>
      </c>
    </row>
    <row r="15" customFormat="false" ht="33.75" hidden="false" customHeight="true" outlineLevel="0" collapsed="false">
      <c r="A15" s="2" t="s">
        <v>11</v>
      </c>
    </row>
    <row r="16" customFormat="false" ht="15.75" hidden="false" customHeight="true" outlineLevel="0" collapsed="false">
      <c r="A16" s="2"/>
    </row>
    <row r="17" customFormat="false" ht="15.75" hidden="false" customHeight="true" outlineLevel="0" collapsed="false">
      <c r="A17" s="3" t="s">
        <v>12</v>
      </c>
    </row>
    <row r="18" customFormat="false" ht="30" hidden="false" customHeight="true" outlineLevel="0" collapsed="false">
      <c r="A18" s="2" t="s">
        <v>13</v>
      </c>
    </row>
    <row r="19" customFormat="false" ht="15.75" hidden="false" customHeight="true" outlineLevel="0" collapsed="false">
      <c r="A19" s="2"/>
    </row>
    <row r="20" customFormat="false" ht="15.75" hidden="false" customHeight="true" outlineLevel="0" collapsed="false">
      <c r="A20" s="3" t="s">
        <v>14</v>
      </c>
    </row>
    <row r="21" customFormat="false" ht="30" hidden="false" customHeight="true" outlineLevel="0" collapsed="false">
      <c r="A21"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34"/>
    <col collapsed="false" customWidth="true" hidden="false" outlineLevel="0" max="4" min="4" style="0" width="70"/>
  </cols>
  <sheetData>
    <row r="1" customFormat="false" ht="15" hidden="false" customHeight="true" outlineLevel="0" collapsed="false">
      <c r="A1" s="4" t="s">
        <v>16</v>
      </c>
      <c r="B1" s="4" t="s">
        <v>17</v>
      </c>
      <c r="C1" s="4" t="s">
        <v>18</v>
      </c>
      <c r="D1" s="4" t="s">
        <v>19</v>
      </c>
    </row>
    <row r="2" customFormat="false" ht="42" hidden="false" customHeight="true" outlineLevel="0" collapsed="false">
      <c r="A2" s="5" t="s">
        <v>20</v>
      </c>
      <c r="B2" s="5" t="s">
        <v>21</v>
      </c>
      <c r="C2" s="5" t="s">
        <v>22</v>
      </c>
      <c r="D2" s="5" t="s">
        <v>23</v>
      </c>
    </row>
    <row r="3" customFormat="false" ht="42" hidden="false" customHeight="true" outlineLevel="0" collapsed="false">
      <c r="A3" s="5" t="s">
        <v>24</v>
      </c>
      <c r="B3" s="5" t="s">
        <v>21</v>
      </c>
      <c r="C3" s="5" t="s">
        <v>25</v>
      </c>
      <c r="D3" s="5" t="s">
        <v>26</v>
      </c>
    </row>
    <row r="4" customFormat="false" ht="42" hidden="false" customHeight="true" outlineLevel="0" collapsed="false">
      <c r="A4" s="5" t="s">
        <v>27</v>
      </c>
      <c r="B4" s="5" t="s">
        <v>21</v>
      </c>
      <c r="C4" s="5" t="s">
        <v>28</v>
      </c>
      <c r="D4" s="5" t="s">
        <v>29</v>
      </c>
    </row>
    <row r="5" customFormat="false" ht="42" hidden="false" customHeight="true" outlineLevel="0" collapsed="false">
      <c r="A5" s="5" t="s">
        <v>30</v>
      </c>
      <c r="B5" s="5" t="s">
        <v>31</v>
      </c>
      <c r="C5" s="5" t="s">
        <v>32</v>
      </c>
      <c r="D5" s="5" t="s">
        <v>33</v>
      </c>
    </row>
    <row r="6" customFormat="false" ht="42" hidden="false" customHeight="true" outlineLevel="0" collapsed="false">
      <c r="A6" s="5" t="s">
        <v>34</v>
      </c>
      <c r="B6" s="5" t="s">
        <v>31</v>
      </c>
      <c r="C6" s="5" t="s">
        <v>35</v>
      </c>
      <c r="D6" s="5" t="s">
        <v>36</v>
      </c>
    </row>
    <row r="7" customFormat="false" ht="42" hidden="false" customHeight="true" outlineLevel="0" collapsed="false">
      <c r="A7" s="5" t="s">
        <v>37</v>
      </c>
      <c r="B7" s="5" t="s">
        <v>31</v>
      </c>
      <c r="C7" s="5" t="s">
        <v>38</v>
      </c>
      <c r="D7" s="5" t="s">
        <v>39</v>
      </c>
    </row>
    <row r="8" customFormat="false" ht="42" hidden="false" customHeight="true" outlineLevel="0" collapsed="false">
      <c r="A8" s="5" t="s">
        <v>40</v>
      </c>
      <c r="B8" s="5" t="s">
        <v>41</v>
      </c>
      <c r="C8" s="5" t="s">
        <v>42</v>
      </c>
      <c r="D8" s="5" t="s">
        <v>43</v>
      </c>
    </row>
    <row r="9" customFormat="false" ht="42" hidden="false" customHeight="true" outlineLevel="0" collapsed="false">
      <c r="A9" s="5" t="s">
        <v>44</v>
      </c>
      <c r="B9" s="5" t="s">
        <v>41</v>
      </c>
      <c r="C9" s="5" t="s">
        <v>45</v>
      </c>
      <c r="D9" s="5" t="s">
        <v>46</v>
      </c>
    </row>
    <row r="10" customFormat="false" ht="42" hidden="false" customHeight="true" outlineLevel="0" collapsed="false">
      <c r="A10" s="5" t="s">
        <v>47</v>
      </c>
      <c r="B10" s="5" t="s">
        <v>41</v>
      </c>
      <c r="C10" s="5" t="s">
        <v>48</v>
      </c>
      <c r="D10" s="5"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4" activeCellId="0" sqref="E4"/>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8"/>
    <col collapsed="false" customWidth="true" hidden="false" outlineLevel="0" max="4" min="4" style="0" width="16"/>
    <col collapsed="false" customWidth="true" hidden="false" outlineLevel="0" max="5" min="5" style="0" width="34"/>
    <col collapsed="false" customWidth="true" hidden="false" outlineLevel="0" max="6" min="6" style="0" width="16"/>
    <col collapsed="false" customWidth="true" hidden="false" outlineLevel="0" max="7" min="7" style="0" width="46"/>
    <col collapsed="false" customWidth="true" hidden="false" outlineLevel="0" max="8" min="8" style="0" width="12"/>
    <col collapsed="false" customWidth="true" hidden="false" outlineLevel="0" max="9" min="9" style="0" width="16"/>
    <col collapsed="false" customWidth="true" hidden="false" outlineLevel="0" max="10" min="10" style="0" width="46"/>
    <col collapsed="false" customWidth="true" hidden="false" outlineLevel="0" max="11" min="11" style="0" width="16"/>
    <col collapsed="false" customWidth="true" hidden="false" outlineLevel="0" max="12" min="12" style="0" width="46"/>
  </cols>
  <sheetData>
    <row r="1" customFormat="false" ht="30" hidden="false" customHeight="true" outlineLevel="0" collapsed="false">
      <c r="A1" s="4" t="s">
        <v>50</v>
      </c>
      <c r="B1" s="4" t="s">
        <v>51</v>
      </c>
      <c r="C1" s="4" t="s">
        <v>52</v>
      </c>
      <c r="D1" s="4" t="s">
        <v>17</v>
      </c>
      <c r="E1" s="4" t="s">
        <v>18</v>
      </c>
      <c r="F1" s="4" t="s">
        <v>53</v>
      </c>
      <c r="G1" s="4" t="s">
        <v>54</v>
      </c>
      <c r="H1" s="4" t="s">
        <v>55</v>
      </c>
      <c r="I1" s="4" t="s">
        <v>56</v>
      </c>
      <c r="J1" s="6" t="s">
        <v>57</v>
      </c>
      <c r="K1" s="6" t="s">
        <v>58</v>
      </c>
      <c r="L1" s="6" t="s">
        <v>59</v>
      </c>
    </row>
    <row r="2" customFormat="false" ht="25.5" hidden="false" customHeight="true" outlineLevel="0" collapsed="false">
      <c r="A2" s="7" t="s">
        <v>60</v>
      </c>
      <c r="B2" s="8" t="s">
        <v>61</v>
      </c>
      <c r="C2" s="8" t="s">
        <v>20</v>
      </c>
      <c r="D2" s="5" t="s">
        <v>21</v>
      </c>
      <c r="E2" s="5" t="s">
        <v>22</v>
      </c>
      <c r="F2" s="8" t="n">
        <v>1</v>
      </c>
      <c r="G2" s="5" t="s">
        <v>62</v>
      </c>
      <c r="H2" s="8" t="s">
        <v>63</v>
      </c>
      <c r="I2" s="5" t="n">
        <v>1</v>
      </c>
      <c r="J2" s="0" t="s">
        <v>64</v>
      </c>
      <c r="K2" s="0" t="n">
        <v>1</v>
      </c>
      <c r="L2" s="0" t="s">
        <v>65</v>
      </c>
    </row>
    <row r="3" customFormat="false" ht="25.5" hidden="false" customHeight="true" outlineLevel="0" collapsed="false">
      <c r="A3" s="7" t="s">
        <v>60</v>
      </c>
      <c r="B3" s="8" t="s">
        <v>61</v>
      </c>
      <c r="C3" s="8" t="s">
        <v>24</v>
      </c>
      <c r="D3" s="5" t="s">
        <v>21</v>
      </c>
      <c r="E3" s="5" t="s">
        <v>25</v>
      </c>
      <c r="F3" s="8" t="n">
        <v>2</v>
      </c>
      <c r="G3" s="5" t="s">
        <v>66</v>
      </c>
      <c r="H3" s="8" t="s">
        <v>63</v>
      </c>
      <c r="I3" s="5" t="n">
        <v>1</v>
      </c>
      <c r="J3" s="0" t="s">
        <v>67</v>
      </c>
      <c r="K3" s="0" t="n">
        <v>1</v>
      </c>
      <c r="L3" s="0" t="s">
        <v>68</v>
      </c>
    </row>
    <row r="4" customFormat="false" ht="25.5" hidden="false" customHeight="true" outlineLevel="0" collapsed="false">
      <c r="A4" s="7" t="s">
        <v>60</v>
      </c>
      <c r="B4" s="8" t="s">
        <v>61</v>
      </c>
      <c r="C4" s="8" t="s">
        <v>27</v>
      </c>
      <c r="D4" s="5" t="s">
        <v>21</v>
      </c>
      <c r="E4" s="5" t="s">
        <v>28</v>
      </c>
      <c r="F4" s="8" t="n">
        <v>2</v>
      </c>
      <c r="G4" s="5" t="s">
        <v>69</v>
      </c>
      <c r="H4" s="8" t="s">
        <v>63</v>
      </c>
      <c r="I4" s="5" t="n">
        <v>2</v>
      </c>
      <c r="J4" s="0" t="s">
        <v>70</v>
      </c>
      <c r="K4" s="0" t="n">
        <v>2</v>
      </c>
      <c r="L4" s="0" t="s">
        <v>65</v>
      </c>
    </row>
    <row r="5" customFormat="false" ht="25.5" hidden="false" customHeight="true" outlineLevel="0" collapsed="false">
      <c r="A5" s="7" t="s">
        <v>60</v>
      </c>
      <c r="B5" s="8" t="s">
        <v>61</v>
      </c>
      <c r="C5" s="8" t="s">
        <v>30</v>
      </c>
      <c r="D5" s="5" t="s">
        <v>31</v>
      </c>
      <c r="E5" s="5" t="s">
        <v>32</v>
      </c>
      <c r="F5" s="8" t="n">
        <v>2</v>
      </c>
      <c r="G5" s="5" t="s">
        <v>71</v>
      </c>
      <c r="H5" s="8" t="s">
        <v>63</v>
      </c>
      <c r="I5" s="5" t="n">
        <v>2</v>
      </c>
      <c r="J5" s="0" t="s">
        <v>72</v>
      </c>
      <c r="K5" s="0" t="n">
        <v>2</v>
      </c>
      <c r="L5" s="0" t="s">
        <v>65</v>
      </c>
    </row>
    <row r="6" customFormat="false" ht="25.5" hidden="false" customHeight="true" outlineLevel="0" collapsed="false">
      <c r="A6" s="7" t="s">
        <v>60</v>
      </c>
      <c r="B6" s="8" t="s">
        <v>61</v>
      </c>
      <c r="C6" s="8" t="s">
        <v>34</v>
      </c>
      <c r="D6" s="5" t="s">
        <v>31</v>
      </c>
      <c r="E6" s="5" t="s">
        <v>35</v>
      </c>
      <c r="F6" s="8" t="n">
        <v>1</v>
      </c>
      <c r="G6" s="5" t="s">
        <v>73</v>
      </c>
      <c r="H6" s="8" t="s">
        <v>63</v>
      </c>
      <c r="I6" s="5" t="n">
        <v>1</v>
      </c>
      <c r="J6" s="0" t="s">
        <v>74</v>
      </c>
      <c r="K6" s="0" t="n">
        <v>1</v>
      </c>
      <c r="L6" s="0" t="s">
        <v>65</v>
      </c>
    </row>
    <row r="7" customFormat="false" ht="25.5" hidden="false" customHeight="true" outlineLevel="0" collapsed="false">
      <c r="A7" s="7" t="s">
        <v>60</v>
      </c>
      <c r="B7" s="8" t="s">
        <v>61</v>
      </c>
      <c r="C7" s="8" t="s">
        <v>37</v>
      </c>
      <c r="D7" s="5" t="s">
        <v>31</v>
      </c>
      <c r="E7" s="5" t="s">
        <v>38</v>
      </c>
      <c r="F7" s="8" t="n">
        <v>1</v>
      </c>
      <c r="G7" s="5" t="s">
        <v>75</v>
      </c>
      <c r="H7" s="8" t="s">
        <v>63</v>
      </c>
      <c r="I7" s="5" t="n">
        <v>1</v>
      </c>
      <c r="J7" s="0" t="s">
        <v>76</v>
      </c>
      <c r="K7" s="0" t="n">
        <v>1</v>
      </c>
      <c r="L7" s="0" t="s">
        <v>65</v>
      </c>
    </row>
    <row r="8" customFormat="false" ht="25.5" hidden="false" customHeight="true" outlineLevel="0" collapsed="false">
      <c r="A8" s="7" t="s">
        <v>60</v>
      </c>
      <c r="B8" s="8" t="s">
        <v>61</v>
      </c>
      <c r="C8" s="8" t="s">
        <v>40</v>
      </c>
      <c r="D8" s="5" t="s">
        <v>41</v>
      </c>
      <c r="E8" s="5" t="s">
        <v>42</v>
      </c>
      <c r="F8" s="8" t="n">
        <v>2</v>
      </c>
      <c r="G8" s="5" t="s">
        <v>77</v>
      </c>
      <c r="H8" s="8" t="s">
        <v>63</v>
      </c>
      <c r="I8" s="5" t="n">
        <v>1</v>
      </c>
      <c r="J8" s="0" t="s">
        <v>78</v>
      </c>
      <c r="K8" s="0" t="n">
        <v>1</v>
      </c>
      <c r="L8" s="0" t="s">
        <v>79</v>
      </c>
    </row>
    <row r="9" customFormat="false" ht="25.5" hidden="false" customHeight="true" outlineLevel="0" collapsed="false">
      <c r="A9" s="7" t="s">
        <v>60</v>
      </c>
      <c r="B9" s="8" t="s">
        <v>61</v>
      </c>
      <c r="C9" s="8" t="s">
        <v>44</v>
      </c>
      <c r="D9" s="5" t="s">
        <v>41</v>
      </c>
      <c r="E9" s="5" t="s">
        <v>45</v>
      </c>
      <c r="F9" s="8" t="n">
        <v>2</v>
      </c>
      <c r="G9" s="5" t="s">
        <v>80</v>
      </c>
      <c r="H9" s="8" t="s">
        <v>63</v>
      </c>
      <c r="I9" s="5" t="n">
        <v>2</v>
      </c>
      <c r="J9" s="0" t="s">
        <v>81</v>
      </c>
      <c r="K9" s="0" t="n">
        <v>2</v>
      </c>
      <c r="L9" s="0" t="s">
        <v>65</v>
      </c>
    </row>
    <row r="10" customFormat="false" ht="25.5" hidden="false" customHeight="true" outlineLevel="0" collapsed="false">
      <c r="A10" s="7" t="s">
        <v>60</v>
      </c>
      <c r="B10" s="8" t="s">
        <v>61</v>
      </c>
      <c r="C10" s="8" t="s">
        <v>47</v>
      </c>
      <c r="D10" s="5" t="s">
        <v>41</v>
      </c>
      <c r="E10" s="5" t="s">
        <v>48</v>
      </c>
      <c r="F10" s="8" t="n">
        <v>1</v>
      </c>
      <c r="G10" s="5" t="s">
        <v>82</v>
      </c>
      <c r="H10" s="8" t="s">
        <v>63</v>
      </c>
      <c r="I10" s="5" t="n">
        <v>1</v>
      </c>
      <c r="J10" s="0" t="s">
        <v>83</v>
      </c>
      <c r="K10" s="0" t="n">
        <v>1</v>
      </c>
      <c r="L10" s="0" t="s">
        <v>65</v>
      </c>
    </row>
    <row r="11" customFormat="false" ht="25.5" hidden="false" customHeight="true" outlineLevel="0" collapsed="false">
      <c r="A11" s="7" t="s">
        <v>60</v>
      </c>
      <c r="B11" s="8" t="s">
        <v>84</v>
      </c>
      <c r="C11" s="8" t="s">
        <v>20</v>
      </c>
      <c r="D11" s="5" t="s">
        <v>21</v>
      </c>
      <c r="E11" s="5" t="s">
        <v>22</v>
      </c>
      <c r="F11" s="8" t="n">
        <v>2</v>
      </c>
      <c r="G11" s="5" t="s">
        <v>85</v>
      </c>
      <c r="H11" s="8" t="s">
        <v>63</v>
      </c>
      <c r="I11" s="5" t="n">
        <v>2</v>
      </c>
      <c r="J11" s="0" t="s">
        <v>86</v>
      </c>
      <c r="K11" s="0" t="n">
        <v>2</v>
      </c>
      <c r="L11" s="0" t="s">
        <v>65</v>
      </c>
    </row>
    <row r="12" customFormat="false" ht="25.5" hidden="false" customHeight="true" outlineLevel="0" collapsed="false">
      <c r="A12" s="7" t="s">
        <v>60</v>
      </c>
      <c r="B12" s="8" t="s">
        <v>84</v>
      </c>
      <c r="C12" s="8" t="s">
        <v>24</v>
      </c>
      <c r="D12" s="5" t="s">
        <v>21</v>
      </c>
      <c r="E12" s="5" t="s">
        <v>25</v>
      </c>
      <c r="F12" s="8" t="n">
        <v>2</v>
      </c>
      <c r="G12" s="5" t="s">
        <v>87</v>
      </c>
      <c r="H12" s="8" t="s">
        <v>63</v>
      </c>
      <c r="I12" s="5" t="n">
        <v>2</v>
      </c>
      <c r="J12" s="0" t="s">
        <v>88</v>
      </c>
      <c r="K12" s="0" t="n">
        <v>2</v>
      </c>
      <c r="L12" s="0" t="s">
        <v>65</v>
      </c>
    </row>
    <row r="13" customFormat="false" ht="25.5" hidden="false" customHeight="true" outlineLevel="0" collapsed="false">
      <c r="A13" s="7" t="s">
        <v>60</v>
      </c>
      <c r="B13" s="8" t="s">
        <v>84</v>
      </c>
      <c r="C13" s="8" t="s">
        <v>27</v>
      </c>
      <c r="D13" s="5" t="s">
        <v>21</v>
      </c>
      <c r="E13" s="5" t="s">
        <v>28</v>
      </c>
      <c r="F13" s="8" t="n">
        <v>2</v>
      </c>
      <c r="G13" s="5" t="s">
        <v>89</v>
      </c>
      <c r="H13" s="8" t="s">
        <v>63</v>
      </c>
      <c r="I13" s="5" t="n">
        <v>2</v>
      </c>
      <c r="J13" s="0" t="s">
        <v>90</v>
      </c>
      <c r="K13" s="0" t="n">
        <v>2</v>
      </c>
      <c r="L13" s="0" t="s">
        <v>65</v>
      </c>
    </row>
    <row r="14" customFormat="false" ht="25.5" hidden="false" customHeight="true" outlineLevel="0" collapsed="false">
      <c r="A14" s="7" t="s">
        <v>60</v>
      </c>
      <c r="B14" s="8" t="s">
        <v>84</v>
      </c>
      <c r="C14" s="8" t="s">
        <v>30</v>
      </c>
      <c r="D14" s="5" t="s">
        <v>31</v>
      </c>
      <c r="E14" s="5" t="s">
        <v>32</v>
      </c>
      <c r="F14" s="8" t="n">
        <v>2</v>
      </c>
      <c r="G14" s="5" t="s">
        <v>91</v>
      </c>
      <c r="H14" s="8" t="s">
        <v>63</v>
      </c>
      <c r="I14" s="5" t="n">
        <v>2</v>
      </c>
      <c r="J14" s="0" t="s">
        <v>92</v>
      </c>
      <c r="K14" s="0" t="n">
        <v>2</v>
      </c>
      <c r="L14" s="0" t="s">
        <v>65</v>
      </c>
    </row>
    <row r="15" customFormat="false" ht="25.5" hidden="false" customHeight="true" outlineLevel="0" collapsed="false">
      <c r="A15" s="7" t="s">
        <v>60</v>
      </c>
      <c r="B15" s="8" t="s">
        <v>84</v>
      </c>
      <c r="C15" s="8" t="s">
        <v>34</v>
      </c>
      <c r="D15" s="5" t="s">
        <v>31</v>
      </c>
      <c r="E15" s="5" t="s">
        <v>35</v>
      </c>
      <c r="F15" s="8" t="n">
        <v>2</v>
      </c>
      <c r="G15" s="5" t="s">
        <v>93</v>
      </c>
      <c r="H15" s="8" t="s">
        <v>63</v>
      </c>
      <c r="I15" s="5" t="n">
        <v>2</v>
      </c>
      <c r="J15" s="0" t="s">
        <v>94</v>
      </c>
      <c r="K15" s="0" t="n">
        <v>2</v>
      </c>
      <c r="L15" s="0" t="s">
        <v>65</v>
      </c>
    </row>
    <row r="16" customFormat="false" ht="25.5" hidden="false" customHeight="true" outlineLevel="0" collapsed="false">
      <c r="A16" s="7" t="s">
        <v>60</v>
      </c>
      <c r="B16" s="8" t="s">
        <v>84</v>
      </c>
      <c r="C16" s="8" t="s">
        <v>37</v>
      </c>
      <c r="D16" s="5" t="s">
        <v>31</v>
      </c>
      <c r="E16" s="5" t="s">
        <v>38</v>
      </c>
      <c r="F16" s="8" t="n">
        <v>1</v>
      </c>
      <c r="G16" s="5" t="s">
        <v>95</v>
      </c>
      <c r="H16" s="8" t="s">
        <v>63</v>
      </c>
      <c r="I16" s="5" t="n">
        <v>1</v>
      </c>
      <c r="J16" s="0" t="s">
        <v>96</v>
      </c>
      <c r="K16" s="0" t="n">
        <v>1</v>
      </c>
      <c r="L16" s="0" t="s">
        <v>65</v>
      </c>
    </row>
    <row r="17" customFormat="false" ht="25.5" hidden="false" customHeight="true" outlineLevel="0" collapsed="false">
      <c r="A17" s="7" t="s">
        <v>60</v>
      </c>
      <c r="B17" s="8" t="s">
        <v>84</v>
      </c>
      <c r="C17" s="8" t="s">
        <v>40</v>
      </c>
      <c r="D17" s="5" t="s">
        <v>41</v>
      </c>
      <c r="E17" s="5" t="s">
        <v>42</v>
      </c>
      <c r="F17" s="8" t="n">
        <v>2</v>
      </c>
      <c r="G17" s="5" t="s">
        <v>97</v>
      </c>
      <c r="H17" s="8" t="s">
        <v>63</v>
      </c>
      <c r="I17" s="5" t="n">
        <v>2</v>
      </c>
      <c r="J17" s="0" t="s">
        <v>98</v>
      </c>
      <c r="K17" s="0" t="n">
        <v>2</v>
      </c>
      <c r="L17" s="0" t="s">
        <v>65</v>
      </c>
    </row>
    <row r="18" customFormat="false" ht="25.5" hidden="false" customHeight="true" outlineLevel="0" collapsed="false">
      <c r="A18" s="7" t="s">
        <v>60</v>
      </c>
      <c r="B18" s="8" t="s">
        <v>84</v>
      </c>
      <c r="C18" s="8" t="s">
        <v>44</v>
      </c>
      <c r="D18" s="5" t="s">
        <v>41</v>
      </c>
      <c r="E18" s="5" t="s">
        <v>45</v>
      </c>
      <c r="F18" s="8" t="n">
        <v>2</v>
      </c>
      <c r="G18" s="5" t="s">
        <v>99</v>
      </c>
      <c r="H18" s="8" t="s">
        <v>63</v>
      </c>
      <c r="I18" s="5" t="n">
        <v>2</v>
      </c>
      <c r="J18" s="0" t="s">
        <v>100</v>
      </c>
      <c r="K18" s="0" t="n">
        <v>2</v>
      </c>
      <c r="L18" s="0" t="s">
        <v>65</v>
      </c>
    </row>
    <row r="19" customFormat="false" ht="25.5" hidden="false" customHeight="true" outlineLevel="0" collapsed="false">
      <c r="A19" s="7" t="s">
        <v>60</v>
      </c>
      <c r="B19" s="8" t="s">
        <v>84</v>
      </c>
      <c r="C19" s="8" t="s">
        <v>47</v>
      </c>
      <c r="D19" s="5" t="s">
        <v>41</v>
      </c>
      <c r="E19" s="5" t="s">
        <v>48</v>
      </c>
      <c r="F19" s="8" t="n">
        <v>1</v>
      </c>
      <c r="G19" s="5" t="s">
        <v>101</v>
      </c>
      <c r="H19" s="8" t="s">
        <v>63</v>
      </c>
      <c r="I19" s="5" t="n">
        <v>1</v>
      </c>
      <c r="J19" s="0" t="s">
        <v>102</v>
      </c>
      <c r="K19" s="0" t="n">
        <v>1</v>
      </c>
      <c r="L19" s="0" t="s">
        <v>65</v>
      </c>
    </row>
    <row r="20" customFormat="false" ht="25.5" hidden="false" customHeight="true" outlineLevel="0" collapsed="false">
      <c r="A20" s="7" t="s">
        <v>60</v>
      </c>
      <c r="B20" s="8" t="s">
        <v>103</v>
      </c>
      <c r="C20" s="8" t="s">
        <v>20</v>
      </c>
      <c r="D20" s="5" t="s">
        <v>21</v>
      </c>
      <c r="E20" s="5" t="s">
        <v>22</v>
      </c>
      <c r="F20" s="8" t="n">
        <v>2</v>
      </c>
      <c r="G20" s="5" t="s">
        <v>104</v>
      </c>
      <c r="H20" s="8" t="s">
        <v>63</v>
      </c>
      <c r="I20" s="5" t="n">
        <v>2</v>
      </c>
      <c r="J20" s="0" t="s">
        <v>105</v>
      </c>
      <c r="K20" s="0" t="n">
        <v>2</v>
      </c>
      <c r="L20" s="0" t="s">
        <v>65</v>
      </c>
    </row>
    <row r="21" customFormat="false" ht="25.5" hidden="false" customHeight="true" outlineLevel="0" collapsed="false">
      <c r="A21" s="7" t="s">
        <v>60</v>
      </c>
      <c r="B21" s="8" t="s">
        <v>103</v>
      </c>
      <c r="C21" s="8" t="s">
        <v>24</v>
      </c>
      <c r="D21" s="5" t="s">
        <v>21</v>
      </c>
      <c r="E21" s="5" t="s">
        <v>25</v>
      </c>
      <c r="F21" s="8" t="n">
        <v>2</v>
      </c>
      <c r="G21" s="5" t="s">
        <v>106</v>
      </c>
      <c r="H21" s="8" t="s">
        <v>63</v>
      </c>
      <c r="I21" s="5" t="n">
        <v>2</v>
      </c>
      <c r="J21" s="0" t="s">
        <v>107</v>
      </c>
      <c r="K21" s="0" t="n">
        <v>2</v>
      </c>
      <c r="L21" s="0" t="s">
        <v>65</v>
      </c>
    </row>
    <row r="22" customFormat="false" ht="25.5" hidden="false" customHeight="true" outlineLevel="0" collapsed="false">
      <c r="A22" s="7" t="s">
        <v>60</v>
      </c>
      <c r="B22" s="8" t="s">
        <v>103</v>
      </c>
      <c r="C22" s="8" t="s">
        <v>27</v>
      </c>
      <c r="D22" s="5" t="s">
        <v>21</v>
      </c>
      <c r="E22" s="5" t="s">
        <v>28</v>
      </c>
      <c r="F22" s="8" t="n">
        <v>2</v>
      </c>
      <c r="G22" s="5" t="s">
        <v>108</v>
      </c>
      <c r="H22" s="8" t="s">
        <v>63</v>
      </c>
      <c r="I22" s="5" t="n">
        <v>2</v>
      </c>
      <c r="J22" s="0" t="s">
        <v>109</v>
      </c>
      <c r="K22" s="0" t="n">
        <v>2</v>
      </c>
      <c r="L22" s="0" t="s">
        <v>65</v>
      </c>
    </row>
    <row r="23" customFormat="false" ht="25.5" hidden="false" customHeight="true" outlineLevel="0" collapsed="false">
      <c r="A23" s="7" t="s">
        <v>60</v>
      </c>
      <c r="B23" s="8" t="s">
        <v>103</v>
      </c>
      <c r="C23" s="8" t="s">
        <v>30</v>
      </c>
      <c r="D23" s="5" t="s">
        <v>31</v>
      </c>
      <c r="E23" s="5" t="s">
        <v>32</v>
      </c>
      <c r="F23" s="8" t="n">
        <v>2</v>
      </c>
      <c r="G23" s="5" t="s">
        <v>110</v>
      </c>
      <c r="H23" s="8" t="s">
        <v>63</v>
      </c>
      <c r="I23" s="5" t="n">
        <v>2</v>
      </c>
      <c r="J23" s="0" t="s">
        <v>111</v>
      </c>
      <c r="K23" s="0" t="n">
        <v>2</v>
      </c>
      <c r="L23" s="0" t="s">
        <v>65</v>
      </c>
    </row>
    <row r="24" customFormat="false" ht="25.5" hidden="false" customHeight="true" outlineLevel="0" collapsed="false">
      <c r="A24" s="7" t="s">
        <v>60</v>
      </c>
      <c r="B24" s="8" t="s">
        <v>103</v>
      </c>
      <c r="C24" s="8" t="s">
        <v>34</v>
      </c>
      <c r="D24" s="5" t="s">
        <v>31</v>
      </c>
      <c r="E24" s="5" t="s">
        <v>35</v>
      </c>
      <c r="F24" s="8" t="n">
        <v>2</v>
      </c>
      <c r="G24" s="5" t="s">
        <v>112</v>
      </c>
      <c r="H24" s="8" t="s">
        <v>63</v>
      </c>
      <c r="I24" s="5" t="n">
        <v>2</v>
      </c>
      <c r="J24" s="0" t="s">
        <v>113</v>
      </c>
      <c r="K24" s="0" t="n">
        <v>2</v>
      </c>
      <c r="L24" s="0" t="s">
        <v>65</v>
      </c>
    </row>
    <row r="25" customFormat="false" ht="25.5" hidden="false" customHeight="true" outlineLevel="0" collapsed="false">
      <c r="A25" s="7" t="s">
        <v>60</v>
      </c>
      <c r="B25" s="8" t="s">
        <v>103</v>
      </c>
      <c r="C25" s="8" t="s">
        <v>37</v>
      </c>
      <c r="D25" s="5" t="s">
        <v>31</v>
      </c>
      <c r="E25" s="5" t="s">
        <v>38</v>
      </c>
      <c r="F25" s="8" t="n">
        <v>2</v>
      </c>
      <c r="G25" s="5" t="s">
        <v>114</v>
      </c>
      <c r="H25" s="8" t="s">
        <v>63</v>
      </c>
      <c r="I25" s="5" t="n">
        <v>2</v>
      </c>
      <c r="J25" s="0" t="s">
        <v>115</v>
      </c>
      <c r="K25" s="0" t="n">
        <v>2</v>
      </c>
      <c r="L25" s="0" t="s">
        <v>65</v>
      </c>
    </row>
    <row r="26" customFormat="false" ht="25.5" hidden="false" customHeight="true" outlineLevel="0" collapsed="false">
      <c r="A26" s="7" t="s">
        <v>60</v>
      </c>
      <c r="B26" s="8" t="s">
        <v>103</v>
      </c>
      <c r="C26" s="8" t="s">
        <v>40</v>
      </c>
      <c r="D26" s="5" t="s">
        <v>41</v>
      </c>
      <c r="E26" s="5" t="s">
        <v>42</v>
      </c>
      <c r="F26" s="8" t="n">
        <v>2</v>
      </c>
      <c r="G26" s="5" t="s">
        <v>116</v>
      </c>
      <c r="H26" s="8" t="s">
        <v>63</v>
      </c>
      <c r="I26" s="5" t="n">
        <v>2</v>
      </c>
      <c r="J26" s="0" t="s">
        <v>117</v>
      </c>
      <c r="K26" s="0" t="n">
        <v>2</v>
      </c>
      <c r="L26" s="0" t="s">
        <v>65</v>
      </c>
    </row>
    <row r="27" customFormat="false" ht="25.5" hidden="false" customHeight="true" outlineLevel="0" collapsed="false">
      <c r="A27" s="7" t="s">
        <v>60</v>
      </c>
      <c r="B27" s="8" t="s">
        <v>103</v>
      </c>
      <c r="C27" s="8" t="s">
        <v>44</v>
      </c>
      <c r="D27" s="5" t="s">
        <v>41</v>
      </c>
      <c r="E27" s="5" t="s">
        <v>45</v>
      </c>
      <c r="F27" s="8" t="n">
        <v>2</v>
      </c>
      <c r="G27" s="5" t="s">
        <v>118</v>
      </c>
      <c r="H27" s="8" t="s">
        <v>63</v>
      </c>
      <c r="I27" s="5" t="n">
        <v>2</v>
      </c>
      <c r="J27" s="0" t="s">
        <v>119</v>
      </c>
      <c r="K27" s="0" t="n">
        <v>2</v>
      </c>
      <c r="L27" s="0" t="s">
        <v>65</v>
      </c>
    </row>
    <row r="28" customFormat="false" ht="25.5" hidden="false" customHeight="true" outlineLevel="0" collapsed="false">
      <c r="A28" s="7" t="s">
        <v>60</v>
      </c>
      <c r="B28" s="8" t="s">
        <v>103</v>
      </c>
      <c r="C28" s="8" t="s">
        <v>47</v>
      </c>
      <c r="D28" s="5" t="s">
        <v>41</v>
      </c>
      <c r="E28" s="5" t="s">
        <v>48</v>
      </c>
      <c r="F28" s="8" t="n">
        <v>2</v>
      </c>
      <c r="G28" s="5" t="s">
        <v>120</v>
      </c>
      <c r="H28" s="8" t="s">
        <v>63</v>
      </c>
      <c r="I28" s="5" t="n">
        <v>2</v>
      </c>
      <c r="J28" s="0" t="s">
        <v>121</v>
      </c>
      <c r="K28" s="0" t="n">
        <v>2</v>
      </c>
      <c r="L28" s="0" t="s">
        <v>65</v>
      </c>
    </row>
    <row r="29" customFormat="false" ht="25.5" hidden="false" customHeight="true" outlineLevel="0" collapsed="false">
      <c r="A29" s="9" t="s">
        <v>122</v>
      </c>
      <c r="B29" s="8" t="s">
        <v>61</v>
      </c>
      <c r="C29" s="8" t="s">
        <v>20</v>
      </c>
      <c r="D29" s="5" t="s">
        <v>21</v>
      </c>
      <c r="E29" s="5" t="s">
        <v>22</v>
      </c>
      <c r="F29" s="8" t="s">
        <v>123</v>
      </c>
      <c r="G29" s="5" t="s">
        <v>124</v>
      </c>
      <c r="H29" s="8" t="s">
        <v>63</v>
      </c>
      <c r="I29" s="5" t="s">
        <v>123</v>
      </c>
      <c r="J29" s="0" t="s">
        <v>125</v>
      </c>
      <c r="K29" s="0" t="s">
        <v>123</v>
      </c>
      <c r="L29" s="0" t="s">
        <v>65</v>
      </c>
    </row>
    <row r="30" customFormat="false" ht="25.5" hidden="false" customHeight="true" outlineLevel="0" collapsed="false">
      <c r="A30" s="9" t="s">
        <v>122</v>
      </c>
      <c r="B30" s="8" t="s">
        <v>61</v>
      </c>
      <c r="C30" s="8" t="s">
        <v>24</v>
      </c>
      <c r="D30" s="5" t="s">
        <v>21</v>
      </c>
      <c r="E30" s="5" t="s">
        <v>25</v>
      </c>
      <c r="F30" s="8" t="s">
        <v>123</v>
      </c>
      <c r="G30" s="5" t="s">
        <v>124</v>
      </c>
      <c r="H30" s="8" t="s">
        <v>63</v>
      </c>
      <c r="I30" s="5" t="s">
        <v>123</v>
      </c>
      <c r="J30" s="0" t="s">
        <v>125</v>
      </c>
      <c r="K30" s="0" t="s">
        <v>123</v>
      </c>
      <c r="L30" s="0" t="s">
        <v>65</v>
      </c>
    </row>
    <row r="31" customFormat="false" ht="25.5" hidden="false" customHeight="true" outlineLevel="0" collapsed="false">
      <c r="A31" s="9" t="s">
        <v>122</v>
      </c>
      <c r="B31" s="8" t="s">
        <v>61</v>
      </c>
      <c r="C31" s="8" t="s">
        <v>27</v>
      </c>
      <c r="D31" s="5" t="s">
        <v>21</v>
      </c>
      <c r="E31" s="5" t="s">
        <v>28</v>
      </c>
      <c r="F31" s="8" t="s">
        <v>123</v>
      </c>
      <c r="G31" s="5" t="s">
        <v>124</v>
      </c>
      <c r="H31" s="8" t="s">
        <v>63</v>
      </c>
      <c r="I31" s="5" t="s">
        <v>123</v>
      </c>
      <c r="J31" s="0" t="s">
        <v>125</v>
      </c>
      <c r="K31" s="0" t="s">
        <v>123</v>
      </c>
      <c r="L31" s="0" t="s">
        <v>65</v>
      </c>
    </row>
    <row r="32" customFormat="false" ht="25.5" hidden="false" customHeight="true" outlineLevel="0" collapsed="false">
      <c r="A32" s="9" t="s">
        <v>122</v>
      </c>
      <c r="B32" s="8" t="s">
        <v>61</v>
      </c>
      <c r="C32" s="8" t="s">
        <v>30</v>
      </c>
      <c r="D32" s="5" t="s">
        <v>31</v>
      </c>
      <c r="E32" s="5" t="s">
        <v>32</v>
      </c>
      <c r="F32" s="8" t="s">
        <v>123</v>
      </c>
      <c r="G32" s="5" t="s">
        <v>124</v>
      </c>
      <c r="H32" s="8" t="s">
        <v>63</v>
      </c>
      <c r="I32" s="5" t="s">
        <v>123</v>
      </c>
      <c r="J32" s="0" t="s">
        <v>125</v>
      </c>
      <c r="K32" s="0" t="s">
        <v>123</v>
      </c>
      <c r="L32" s="0" t="s">
        <v>65</v>
      </c>
    </row>
    <row r="33" customFormat="false" ht="25.5" hidden="false" customHeight="true" outlineLevel="0" collapsed="false">
      <c r="A33" s="9" t="s">
        <v>122</v>
      </c>
      <c r="B33" s="8" t="s">
        <v>61</v>
      </c>
      <c r="C33" s="8" t="s">
        <v>34</v>
      </c>
      <c r="D33" s="5" t="s">
        <v>31</v>
      </c>
      <c r="E33" s="5" t="s">
        <v>35</v>
      </c>
      <c r="F33" s="8" t="s">
        <v>123</v>
      </c>
      <c r="G33" s="5" t="s">
        <v>124</v>
      </c>
      <c r="H33" s="8" t="s">
        <v>63</v>
      </c>
      <c r="I33" s="5" t="s">
        <v>123</v>
      </c>
      <c r="J33" s="0" t="s">
        <v>125</v>
      </c>
      <c r="K33" s="0" t="s">
        <v>123</v>
      </c>
      <c r="L33" s="0" t="s">
        <v>65</v>
      </c>
    </row>
    <row r="34" customFormat="false" ht="25.5" hidden="false" customHeight="true" outlineLevel="0" collapsed="false">
      <c r="A34" s="9" t="s">
        <v>122</v>
      </c>
      <c r="B34" s="8" t="s">
        <v>61</v>
      </c>
      <c r="C34" s="8" t="s">
        <v>37</v>
      </c>
      <c r="D34" s="5" t="s">
        <v>31</v>
      </c>
      <c r="E34" s="5" t="s">
        <v>38</v>
      </c>
      <c r="F34" s="8" t="s">
        <v>123</v>
      </c>
      <c r="G34" s="5" t="s">
        <v>124</v>
      </c>
      <c r="H34" s="8" t="s">
        <v>63</v>
      </c>
      <c r="I34" s="5" t="s">
        <v>123</v>
      </c>
      <c r="J34" s="0" t="s">
        <v>125</v>
      </c>
      <c r="K34" s="0" t="s">
        <v>123</v>
      </c>
      <c r="L34" s="0" t="s">
        <v>65</v>
      </c>
    </row>
    <row r="35" customFormat="false" ht="25.5" hidden="false" customHeight="true" outlineLevel="0" collapsed="false">
      <c r="A35" s="9" t="s">
        <v>122</v>
      </c>
      <c r="B35" s="8" t="s">
        <v>61</v>
      </c>
      <c r="C35" s="8" t="s">
        <v>40</v>
      </c>
      <c r="D35" s="5" t="s">
        <v>41</v>
      </c>
      <c r="E35" s="5" t="s">
        <v>42</v>
      </c>
      <c r="F35" s="8" t="s">
        <v>123</v>
      </c>
      <c r="G35" s="5" t="s">
        <v>124</v>
      </c>
      <c r="H35" s="8" t="s">
        <v>63</v>
      </c>
      <c r="I35" s="5" t="s">
        <v>123</v>
      </c>
      <c r="J35" s="0" t="s">
        <v>125</v>
      </c>
      <c r="K35" s="0" t="s">
        <v>123</v>
      </c>
      <c r="L35" s="0" t="s">
        <v>65</v>
      </c>
    </row>
    <row r="36" customFormat="false" ht="25.5" hidden="false" customHeight="true" outlineLevel="0" collapsed="false">
      <c r="A36" s="9" t="s">
        <v>122</v>
      </c>
      <c r="B36" s="8" t="s">
        <v>61</v>
      </c>
      <c r="C36" s="8" t="s">
        <v>44</v>
      </c>
      <c r="D36" s="5" t="s">
        <v>41</v>
      </c>
      <c r="E36" s="5" t="s">
        <v>45</v>
      </c>
      <c r="F36" s="8" t="s">
        <v>123</v>
      </c>
      <c r="G36" s="5" t="s">
        <v>124</v>
      </c>
      <c r="H36" s="8" t="s">
        <v>63</v>
      </c>
      <c r="I36" s="5" t="s">
        <v>123</v>
      </c>
      <c r="J36" s="0" t="s">
        <v>125</v>
      </c>
      <c r="K36" s="0" t="s">
        <v>123</v>
      </c>
      <c r="L36" s="0" t="s">
        <v>65</v>
      </c>
    </row>
    <row r="37" customFormat="false" ht="25.5" hidden="false" customHeight="true" outlineLevel="0" collapsed="false">
      <c r="A37" s="9" t="s">
        <v>122</v>
      </c>
      <c r="B37" s="8" t="s">
        <v>61</v>
      </c>
      <c r="C37" s="8" t="s">
        <v>47</v>
      </c>
      <c r="D37" s="5" t="s">
        <v>41</v>
      </c>
      <c r="E37" s="5" t="s">
        <v>48</v>
      </c>
      <c r="F37" s="8" t="s">
        <v>123</v>
      </c>
      <c r="G37" s="5" t="s">
        <v>124</v>
      </c>
      <c r="H37" s="8" t="s">
        <v>63</v>
      </c>
      <c r="I37" s="5" t="s">
        <v>123</v>
      </c>
      <c r="J37" s="0" t="s">
        <v>125</v>
      </c>
      <c r="K37" s="0" t="s">
        <v>123</v>
      </c>
      <c r="L37" s="0" t="s">
        <v>65</v>
      </c>
    </row>
    <row r="38" customFormat="false" ht="25.5" hidden="false" customHeight="true" outlineLevel="0" collapsed="false">
      <c r="A38" s="9" t="s">
        <v>122</v>
      </c>
      <c r="B38" s="8" t="s">
        <v>84</v>
      </c>
      <c r="C38" s="8" t="s">
        <v>20</v>
      </c>
      <c r="D38" s="5" t="s">
        <v>21</v>
      </c>
      <c r="E38" s="5" t="s">
        <v>22</v>
      </c>
      <c r="F38" s="8" t="s">
        <v>123</v>
      </c>
      <c r="G38" s="5" t="s">
        <v>126</v>
      </c>
      <c r="H38" s="8" t="s">
        <v>63</v>
      </c>
      <c r="I38" s="5" t="s">
        <v>123</v>
      </c>
      <c r="J38" s="0" t="s">
        <v>127</v>
      </c>
      <c r="K38" s="0" t="s">
        <v>123</v>
      </c>
      <c r="L38" s="0" t="s">
        <v>65</v>
      </c>
    </row>
    <row r="39" customFormat="false" ht="25.5" hidden="false" customHeight="true" outlineLevel="0" collapsed="false">
      <c r="A39" s="9" t="s">
        <v>122</v>
      </c>
      <c r="B39" s="8" t="s">
        <v>84</v>
      </c>
      <c r="C39" s="8" t="s">
        <v>24</v>
      </c>
      <c r="D39" s="5" t="s">
        <v>21</v>
      </c>
      <c r="E39" s="5" t="s">
        <v>25</v>
      </c>
      <c r="F39" s="8" t="s">
        <v>123</v>
      </c>
      <c r="G39" s="5" t="s">
        <v>126</v>
      </c>
      <c r="H39" s="8" t="s">
        <v>63</v>
      </c>
      <c r="I39" s="5" t="s">
        <v>123</v>
      </c>
      <c r="J39" s="0" t="s">
        <v>127</v>
      </c>
      <c r="K39" s="0" t="s">
        <v>123</v>
      </c>
      <c r="L39" s="0" t="s">
        <v>65</v>
      </c>
    </row>
    <row r="40" customFormat="false" ht="25.5" hidden="false" customHeight="true" outlineLevel="0" collapsed="false">
      <c r="A40" s="9" t="s">
        <v>122</v>
      </c>
      <c r="B40" s="8" t="s">
        <v>84</v>
      </c>
      <c r="C40" s="8" t="s">
        <v>27</v>
      </c>
      <c r="D40" s="5" t="s">
        <v>21</v>
      </c>
      <c r="E40" s="5" t="s">
        <v>28</v>
      </c>
      <c r="F40" s="8" t="s">
        <v>123</v>
      </c>
      <c r="G40" s="5" t="s">
        <v>126</v>
      </c>
      <c r="H40" s="8" t="s">
        <v>63</v>
      </c>
      <c r="I40" s="5" t="s">
        <v>123</v>
      </c>
      <c r="J40" s="0" t="s">
        <v>127</v>
      </c>
      <c r="K40" s="0" t="s">
        <v>123</v>
      </c>
      <c r="L40" s="0" t="s">
        <v>65</v>
      </c>
    </row>
    <row r="41" customFormat="false" ht="25.5" hidden="false" customHeight="true" outlineLevel="0" collapsed="false">
      <c r="A41" s="9" t="s">
        <v>122</v>
      </c>
      <c r="B41" s="8" t="s">
        <v>84</v>
      </c>
      <c r="C41" s="8" t="s">
        <v>30</v>
      </c>
      <c r="D41" s="5" t="s">
        <v>31</v>
      </c>
      <c r="E41" s="5" t="s">
        <v>32</v>
      </c>
      <c r="F41" s="8" t="s">
        <v>123</v>
      </c>
      <c r="G41" s="5" t="s">
        <v>126</v>
      </c>
      <c r="H41" s="8" t="s">
        <v>63</v>
      </c>
      <c r="I41" s="5" t="s">
        <v>123</v>
      </c>
      <c r="J41" s="0" t="s">
        <v>127</v>
      </c>
      <c r="K41" s="0" t="s">
        <v>123</v>
      </c>
      <c r="L41" s="0" t="s">
        <v>65</v>
      </c>
    </row>
    <row r="42" customFormat="false" ht="25.5" hidden="false" customHeight="true" outlineLevel="0" collapsed="false">
      <c r="A42" s="9" t="s">
        <v>122</v>
      </c>
      <c r="B42" s="8" t="s">
        <v>84</v>
      </c>
      <c r="C42" s="8" t="s">
        <v>34</v>
      </c>
      <c r="D42" s="5" t="s">
        <v>31</v>
      </c>
      <c r="E42" s="5" t="s">
        <v>35</v>
      </c>
      <c r="F42" s="8" t="s">
        <v>123</v>
      </c>
      <c r="G42" s="5" t="s">
        <v>126</v>
      </c>
      <c r="H42" s="8" t="s">
        <v>63</v>
      </c>
      <c r="I42" s="5" t="s">
        <v>123</v>
      </c>
      <c r="J42" s="0" t="s">
        <v>127</v>
      </c>
      <c r="K42" s="0" t="s">
        <v>123</v>
      </c>
      <c r="L42" s="0" t="s">
        <v>65</v>
      </c>
    </row>
    <row r="43" customFormat="false" ht="25.5" hidden="false" customHeight="true" outlineLevel="0" collapsed="false">
      <c r="A43" s="9" t="s">
        <v>122</v>
      </c>
      <c r="B43" s="8" t="s">
        <v>84</v>
      </c>
      <c r="C43" s="8" t="s">
        <v>37</v>
      </c>
      <c r="D43" s="5" t="s">
        <v>31</v>
      </c>
      <c r="E43" s="5" t="s">
        <v>38</v>
      </c>
      <c r="F43" s="8" t="s">
        <v>123</v>
      </c>
      <c r="G43" s="5" t="s">
        <v>126</v>
      </c>
      <c r="H43" s="8" t="s">
        <v>63</v>
      </c>
      <c r="I43" s="5" t="s">
        <v>123</v>
      </c>
      <c r="J43" s="0" t="s">
        <v>127</v>
      </c>
      <c r="K43" s="0" t="s">
        <v>123</v>
      </c>
      <c r="L43" s="0" t="s">
        <v>65</v>
      </c>
    </row>
    <row r="44" customFormat="false" ht="25.5" hidden="false" customHeight="true" outlineLevel="0" collapsed="false">
      <c r="A44" s="9" t="s">
        <v>122</v>
      </c>
      <c r="B44" s="8" t="s">
        <v>84</v>
      </c>
      <c r="C44" s="8" t="s">
        <v>40</v>
      </c>
      <c r="D44" s="5" t="s">
        <v>41</v>
      </c>
      <c r="E44" s="5" t="s">
        <v>42</v>
      </c>
      <c r="F44" s="8" t="s">
        <v>123</v>
      </c>
      <c r="G44" s="5" t="s">
        <v>126</v>
      </c>
      <c r="H44" s="8" t="s">
        <v>63</v>
      </c>
      <c r="I44" s="5" t="s">
        <v>123</v>
      </c>
      <c r="J44" s="0" t="s">
        <v>127</v>
      </c>
      <c r="K44" s="0" t="s">
        <v>123</v>
      </c>
      <c r="L44" s="0" t="s">
        <v>65</v>
      </c>
    </row>
    <row r="45" customFormat="false" ht="25.5" hidden="false" customHeight="true" outlineLevel="0" collapsed="false">
      <c r="A45" s="9" t="s">
        <v>122</v>
      </c>
      <c r="B45" s="8" t="s">
        <v>84</v>
      </c>
      <c r="C45" s="8" t="s">
        <v>44</v>
      </c>
      <c r="D45" s="5" t="s">
        <v>41</v>
      </c>
      <c r="E45" s="5" t="s">
        <v>45</v>
      </c>
      <c r="F45" s="8" t="s">
        <v>123</v>
      </c>
      <c r="G45" s="5" t="s">
        <v>126</v>
      </c>
      <c r="H45" s="8" t="s">
        <v>63</v>
      </c>
      <c r="I45" s="5" t="s">
        <v>123</v>
      </c>
      <c r="J45" s="0" t="s">
        <v>127</v>
      </c>
      <c r="K45" s="0" t="s">
        <v>123</v>
      </c>
      <c r="L45" s="0" t="s">
        <v>65</v>
      </c>
    </row>
    <row r="46" customFormat="false" ht="25.5" hidden="false" customHeight="true" outlineLevel="0" collapsed="false">
      <c r="A46" s="9" t="s">
        <v>122</v>
      </c>
      <c r="B46" s="8" t="s">
        <v>84</v>
      </c>
      <c r="C46" s="8" t="s">
        <v>47</v>
      </c>
      <c r="D46" s="5" t="s">
        <v>41</v>
      </c>
      <c r="E46" s="5" t="s">
        <v>48</v>
      </c>
      <c r="F46" s="8" t="s">
        <v>123</v>
      </c>
      <c r="G46" s="5" t="s">
        <v>126</v>
      </c>
      <c r="H46" s="8" t="s">
        <v>63</v>
      </c>
      <c r="I46" s="5" t="s">
        <v>123</v>
      </c>
      <c r="J46" s="0" t="s">
        <v>127</v>
      </c>
      <c r="K46" s="0" t="s">
        <v>123</v>
      </c>
      <c r="L46" s="0" t="s">
        <v>65</v>
      </c>
    </row>
    <row r="47" customFormat="false" ht="25.5" hidden="false" customHeight="true" outlineLevel="0" collapsed="false">
      <c r="A47" s="9" t="s">
        <v>122</v>
      </c>
      <c r="B47" s="8" t="s">
        <v>103</v>
      </c>
      <c r="C47" s="8" t="s">
        <v>20</v>
      </c>
      <c r="D47" s="5" t="s">
        <v>21</v>
      </c>
      <c r="E47" s="5" t="s">
        <v>22</v>
      </c>
      <c r="F47" s="8" t="n">
        <v>2</v>
      </c>
      <c r="G47" s="5" t="s">
        <v>128</v>
      </c>
      <c r="H47" s="8" t="s">
        <v>63</v>
      </c>
      <c r="I47" s="5" t="n">
        <v>2</v>
      </c>
      <c r="J47" s="0" t="s">
        <v>129</v>
      </c>
      <c r="K47" s="0" t="n">
        <v>2</v>
      </c>
      <c r="L47" s="0" t="s">
        <v>65</v>
      </c>
    </row>
    <row r="48" customFormat="false" ht="25.5" hidden="false" customHeight="true" outlineLevel="0" collapsed="false">
      <c r="A48" s="9" t="s">
        <v>122</v>
      </c>
      <c r="B48" s="8" t="s">
        <v>103</v>
      </c>
      <c r="C48" s="8" t="s">
        <v>24</v>
      </c>
      <c r="D48" s="5" t="s">
        <v>21</v>
      </c>
      <c r="E48" s="5" t="s">
        <v>25</v>
      </c>
      <c r="F48" s="8" t="n">
        <v>2</v>
      </c>
      <c r="G48" s="5" t="s">
        <v>130</v>
      </c>
      <c r="H48" s="8" t="s">
        <v>63</v>
      </c>
      <c r="I48" s="5" t="n">
        <v>2</v>
      </c>
      <c r="J48" s="0" t="s">
        <v>131</v>
      </c>
      <c r="K48" s="0" t="n">
        <v>2</v>
      </c>
      <c r="L48" s="0" t="s">
        <v>65</v>
      </c>
    </row>
    <row r="49" customFormat="false" ht="25.5" hidden="false" customHeight="true" outlineLevel="0" collapsed="false">
      <c r="A49" s="9" t="s">
        <v>122</v>
      </c>
      <c r="B49" s="8" t="s">
        <v>103</v>
      </c>
      <c r="C49" s="8" t="s">
        <v>27</v>
      </c>
      <c r="D49" s="5" t="s">
        <v>21</v>
      </c>
      <c r="E49" s="5" t="s">
        <v>28</v>
      </c>
      <c r="F49" s="8" t="n">
        <v>2</v>
      </c>
      <c r="G49" s="5" t="s">
        <v>132</v>
      </c>
      <c r="H49" s="8" t="s">
        <v>63</v>
      </c>
      <c r="I49" s="5" t="n">
        <v>2</v>
      </c>
      <c r="J49" s="0" t="s">
        <v>133</v>
      </c>
      <c r="K49" s="0" t="n">
        <v>2</v>
      </c>
      <c r="L49" s="0" t="s">
        <v>65</v>
      </c>
    </row>
    <row r="50" customFormat="false" ht="25.5" hidden="false" customHeight="true" outlineLevel="0" collapsed="false">
      <c r="A50" s="9" t="s">
        <v>122</v>
      </c>
      <c r="B50" s="8" t="s">
        <v>103</v>
      </c>
      <c r="C50" s="8" t="s">
        <v>30</v>
      </c>
      <c r="D50" s="5" t="s">
        <v>31</v>
      </c>
      <c r="E50" s="5" t="s">
        <v>32</v>
      </c>
      <c r="F50" s="8" t="n">
        <v>2</v>
      </c>
      <c r="G50" s="5" t="s">
        <v>134</v>
      </c>
      <c r="H50" s="8" t="s">
        <v>63</v>
      </c>
      <c r="I50" s="5" t="n">
        <v>2</v>
      </c>
      <c r="J50" s="0" t="s">
        <v>135</v>
      </c>
      <c r="K50" s="0" t="n">
        <v>2</v>
      </c>
      <c r="L50" s="0" t="s">
        <v>65</v>
      </c>
    </row>
    <row r="51" customFormat="false" ht="25.5" hidden="false" customHeight="true" outlineLevel="0" collapsed="false">
      <c r="A51" s="9" t="s">
        <v>122</v>
      </c>
      <c r="B51" s="8" t="s">
        <v>103</v>
      </c>
      <c r="C51" s="8" t="s">
        <v>34</v>
      </c>
      <c r="D51" s="5" t="s">
        <v>31</v>
      </c>
      <c r="E51" s="5" t="s">
        <v>35</v>
      </c>
      <c r="F51" s="8" t="n">
        <v>2</v>
      </c>
      <c r="G51" s="5" t="s">
        <v>136</v>
      </c>
      <c r="H51" s="8" t="s">
        <v>63</v>
      </c>
      <c r="I51" s="5" t="n">
        <v>2</v>
      </c>
      <c r="J51" s="0" t="s">
        <v>137</v>
      </c>
      <c r="K51" s="0" t="n">
        <v>2</v>
      </c>
      <c r="L51" s="0" t="s">
        <v>65</v>
      </c>
    </row>
    <row r="52" customFormat="false" ht="25.5" hidden="false" customHeight="true" outlineLevel="0" collapsed="false">
      <c r="A52" s="9" t="s">
        <v>122</v>
      </c>
      <c r="B52" s="8" t="s">
        <v>103</v>
      </c>
      <c r="C52" s="8" t="s">
        <v>37</v>
      </c>
      <c r="D52" s="5" t="s">
        <v>31</v>
      </c>
      <c r="E52" s="5" t="s">
        <v>38</v>
      </c>
      <c r="F52" s="8" t="n">
        <v>1</v>
      </c>
      <c r="G52" s="5" t="s">
        <v>138</v>
      </c>
      <c r="H52" s="8" t="s">
        <v>63</v>
      </c>
      <c r="I52" s="5" t="n">
        <v>1</v>
      </c>
      <c r="J52" s="0" t="s">
        <v>139</v>
      </c>
      <c r="K52" s="0" t="n">
        <v>1</v>
      </c>
      <c r="L52" s="0" t="s">
        <v>65</v>
      </c>
    </row>
    <row r="53" customFormat="false" ht="25.5" hidden="false" customHeight="true" outlineLevel="0" collapsed="false">
      <c r="A53" s="9" t="s">
        <v>122</v>
      </c>
      <c r="B53" s="8" t="s">
        <v>103</v>
      </c>
      <c r="C53" s="8" t="s">
        <v>40</v>
      </c>
      <c r="D53" s="5" t="s">
        <v>41</v>
      </c>
      <c r="E53" s="5" t="s">
        <v>42</v>
      </c>
      <c r="F53" s="8" t="n">
        <v>2</v>
      </c>
      <c r="G53" s="5" t="s">
        <v>140</v>
      </c>
      <c r="H53" s="8" t="s">
        <v>63</v>
      </c>
      <c r="I53" s="5" t="n">
        <v>2</v>
      </c>
      <c r="J53" s="0" t="s">
        <v>141</v>
      </c>
      <c r="K53" s="0" t="n">
        <v>2</v>
      </c>
      <c r="L53" s="0" t="s">
        <v>65</v>
      </c>
    </row>
    <row r="54" customFormat="false" ht="25.5" hidden="false" customHeight="true" outlineLevel="0" collapsed="false">
      <c r="A54" s="9" t="s">
        <v>122</v>
      </c>
      <c r="B54" s="8" t="s">
        <v>103</v>
      </c>
      <c r="C54" s="8" t="s">
        <v>44</v>
      </c>
      <c r="D54" s="5" t="s">
        <v>41</v>
      </c>
      <c r="E54" s="5" t="s">
        <v>45</v>
      </c>
      <c r="F54" s="8" t="n">
        <v>2</v>
      </c>
      <c r="G54" s="5" t="s">
        <v>142</v>
      </c>
      <c r="H54" s="8" t="s">
        <v>63</v>
      </c>
      <c r="I54" s="5" t="n">
        <v>2</v>
      </c>
      <c r="J54" s="0" t="s">
        <v>143</v>
      </c>
      <c r="K54" s="0" t="n">
        <v>2</v>
      </c>
      <c r="L54" s="0" t="s">
        <v>65</v>
      </c>
    </row>
    <row r="55" customFormat="false" ht="25.5" hidden="false" customHeight="true" outlineLevel="0" collapsed="false">
      <c r="A55" s="9" t="s">
        <v>122</v>
      </c>
      <c r="B55" s="8" t="s">
        <v>103</v>
      </c>
      <c r="C55" s="8" t="s">
        <v>47</v>
      </c>
      <c r="D55" s="5" t="s">
        <v>41</v>
      </c>
      <c r="E55" s="5" t="s">
        <v>48</v>
      </c>
      <c r="F55" s="8" t="n">
        <v>1</v>
      </c>
      <c r="G55" s="5" t="s">
        <v>144</v>
      </c>
      <c r="H55" s="8" t="s">
        <v>63</v>
      </c>
      <c r="I55" s="5" t="n">
        <v>2</v>
      </c>
      <c r="J55" s="0" t="s">
        <v>145</v>
      </c>
      <c r="K55" s="0" t="n">
        <v>2</v>
      </c>
      <c r="L55" s="0" t="s">
        <v>146</v>
      </c>
    </row>
    <row r="56" customFormat="false" ht="25.5" hidden="false" customHeight="true" outlineLevel="0" collapsed="false">
      <c r="A56" s="10" t="s">
        <v>147</v>
      </c>
      <c r="B56" s="8" t="s">
        <v>61</v>
      </c>
      <c r="C56" s="8" t="s">
        <v>20</v>
      </c>
      <c r="D56" s="5" t="s">
        <v>21</v>
      </c>
      <c r="E56" s="5" t="s">
        <v>22</v>
      </c>
      <c r="F56" s="8" t="s">
        <v>123</v>
      </c>
      <c r="G56" s="5" t="s">
        <v>148</v>
      </c>
      <c r="H56" s="8" t="s">
        <v>63</v>
      </c>
      <c r="I56" s="5" t="s">
        <v>123</v>
      </c>
      <c r="J56" s="0" t="s">
        <v>149</v>
      </c>
      <c r="K56" s="0" t="s">
        <v>123</v>
      </c>
      <c r="L56" s="0" t="s">
        <v>65</v>
      </c>
    </row>
    <row r="57" customFormat="false" ht="25.5" hidden="false" customHeight="true" outlineLevel="0" collapsed="false">
      <c r="A57" s="10" t="s">
        <v>147</v>
      </c>
      <c r="B57" s="8" t="s">
        <v>61</v>
      </c>
      <c r="C57" s="8" t="s">
        <v>24</v>
      </c>
      <c r="D57" s="5" t="s">
        <v>21</v>
      </c>
      <c r="E57" s="5" t="s">
        <v>25</v>
      </c>
      <c r="F57" s="8" t="s">
        <v>123</v>
      </c>
      <c r="G57" s="5" t="s">
        <v>148</v>
      </c>
      <c r="H57" s="8" t="s">
        <v>63</v>
      </c>
      <c r="I57" s="5" t="s">
        <v>123</v>
      </c>
      <c r="J57" s="0" t="s">
        <v>149</v>
      </c>
      <c r="K57" s="0" t="s">
        <v>123</v>
      </c>
      <c r="L57" s="0" t="s">
        <v>65</v>
      </c>
    </row>
    <row r="58" customFormat="false" ht="25.5" hidden="false" customHeight="true" outlineLevel="0" collapsed="false">
      <c r="A58" s="10" t="s">
        <v>147</v>
      </c>
      <c r="B58" s="8" t="s">
        <v>61</v>
      </c>
      <c r="C58" s="8" t="s">
        <v>27</v>
      </c>
      <c r="D58" s="5" t="s">
        <v>21</v>
      </c>
      <c r="E58" s="5" t="s">
        <v>28</v>
      </c>
      <c r="F58" s="8" t="s">
        <v>123</v>
      </c>
      <c r="G58" s="5" t="s">
        <v>148</v>
      </c>
      <c r="H58" s="8" t="s">
        <v>63</v>
      </c>
      <c r="I58" s="5" t="s">
        <v>123</v>
      </c>
      <c r="J58" s="0" t="s">
        <v>149</v>
      </c>
      <c r="K58" s="0" t="s">
        <v>123</v>
      </c>
      <c r="L58" s="0" t="s">
        <v>65</v>
      </c>
    </row>
    <row r="59" customFormat="false" ht="25.5" hidden="false" customHeight="true" outlineLevel="0" collapsed="false">
      <c r="A59" s="10" t="s">
        <v>147</v>
      </c>
      <c r="B59" s="8" t="s">
        <v>61</v>
      </c>
      <c r="C59" s="8" t="s">
        <v>30</v>
      </c>
      <c r="D59" s="5" t="s">
        <v>31</v>
      </c>
      <c r="E59" s="5" t="s">
        <v>32</v>
      </c>
      <c r="F59" s="8" t="s">
        <v>123</v>
      </c>
      <c r="G59" s="5" t="s">
        <v>148</v>
      </c>
      <c r="H59" s="8" t="s">
        <v>63</v>
      </c>
      <c r="I59" s="5" t="s">
        <v>123</v>
      </c>
      <c r="J59" s="0" t="s">
        <v>149</v>
      </c>
      <c r="K59" s="0" t="s">
        <v>123</v>
      </c>
      <c r="L59" s="0" t="s">
        <v>65</v>
      </c>
    </row>
    <row r="60" customFormat="false" ht="25.5" hidden="false" customHeight="true" outlineLevel="0" collapsed="false">
      <c r="A60" s="10" t="s">
        <v>147</v>
      </c>
      <c r="B60" s="8" t="s">
        <v>61</v>
      </c>
      <c r="C60" s="8" t="s">
        <v>34</v>
      </c>
      <c r="D60" s="5" t="s">
        <v>31</v>
      </c>
      <c r="E60" s="5" t="s">
        <v>35</v>
      </c>
      <c r="F60" s="8" t="s">
        <v>123</v>
      </c>
      <c r="G60" s="5" t="s">
        <v>148</v>
      </c>
      <c r="H60" s="8" t="s">
        <v>63</v>
      </c>
      <c r="I60" s="5" t="s">
        <v>123</v>
      </c>
      <c r="J60" s="0" t="s">
        <v>149</v>
      </c>
      <c r="K60" s="0" t="s">
        <v>123</v>
      </c>
      <c r="L60" s="0" t="s">
        <v>65</v>
      </c>
    </row>
    <row r="61" customFormat="false" ht="25.5" hidden="false" customHeight="true" outlineLevel="0" collapsed="false">
      <c r="A61" s="10" t="s">
        <v>147</v>
      </c>
      <c r="B61" s="8" t="s">
        <v>61</v>
      </c>
      <c r="C61" s="8" t="s">
        <v>37</v>
      </c>
      <c r="D61" s="5" t="s">
        <v>31</v>
      </c>
      <c r="E61" s="5" t="s">
        <v>38</v>
      </c>
      <c r="F61" s="8" t="s">
        <v>123</v>
      </c>
      <c r="G61" s="5" t="s">
        <v>148</v>
      </c>
      <c r="H61" s="8" t="s">
        <v>63</v>
      </c>
      <c r="I61" s="5" t="s">
        <v>123</v>
      </c>
      <c r="J61" s="0" t="s">
        <v>149</v>
      </c>
      <c r="K61" s="0" t="s">
        <v>123</v>
      </c>
      <c r="L61" s="0" t="s">
        <v>65</v>
      </c>
    </row>
    <row r="62" customFormat="false" ht="25.5" hidden="false" customHeight="true" outlineLevel="0" collapsed="false">
      <c r="A62" s="10" t="s">
        <v>147</v>
      </c>
      <c r="B62" s="8" t="s">
        <v>61</v>
      </c>
      <c r="C62" s="8" t="s">
        <v>40</v>
      </c>
      <c r="D62" s="5" t="s">
        <v>41</v>
      </c>
      <c r="E62" s="5" t="s">
        <v>42</v>
      </c>
      <c r="F62" s="8" t="s">
        <v>123</v>
      </c>
      <c r="G62" s="5" t="s">
        <v>148</v>
      </c>
      <c r="H62" s="8" t="s">
        <v>63</v>
      </c>
      <c r="I62" s="5" t="s">
        <v>123</v>
      </c>
      <c r="J62" s="0" t="s">
        <v>149</v>
      </c>
      <c r="K62" s="0" t="s">
        <v>123</v>
      </c>
      <c r="L62" s="0" t="s">
        <v>65</v>
      </c>
    </row>
    <row r="63" customFormat="false" ht="25.5" hidden="false" customHeight="true" outlineLevel="0" collapsed="false">
      <c r="A63" s="10" t="s">
        <v>147</v>
      </c>
      <c r="B63" s="8" t="s">
        <v>61</v>
      </c>
      <c r="C63" s="8" t="s">
        <v>44</v>
      </c>
      <c r="D63" s="5" t="s">
        <v>41</v>
      </c>
      <c r="E63" s="5" t="s">
        <v>45</v>
      </c>
      <c r="F63" s="8" t="s">
        <v>123</v>
      </c>
      <c r="G63" s="5" t="s">
        <v>148</v>
      </c>
      <c r="H63" s="8" t="s">
        <v>63</v>
      </c>
      <c r="I63" s="5" t="s">
        <v>123</v>
      </c>
      <c r="J63" s="0" t="s">
        <v>149</v>
      </c>
      <c r="K63" s="0" t="s">
        <v>123</v>
      </c>
      <c r="L63" s="0" t="s">
        <v>65</v>
      </c>
    </row>
    <row r="64" customFormat="false" ht="25.5" hidden="false" customHeight="true" outlineLevel="0" collapsed="false">
      <c r="A64" s="10" t="s">
        <v>147</v>
      </c>
      <c r="B64" s="8" t="s">
        <v>61</v>
      </c>
      <c r="C64" s="8" t="s">
        <v>47</v>
      </c>
      <c r="D64" s="5" t="s">
        <v>41</v>
      </c>
      <c r="E64" s="5" t="s">
        <v>48</v>
      </c>
      <c r="F64" s="8" t="s">
        <v>123</v>
      </c>
      <c r="G64" s="5" t="s">
        <v>148</v>
      </c>
      <c r="H64" s="8" t="s">
        <v>63</v>
      </c>
      <c r="I64" s="5" t="s">
        <v>123</v>
      </c>
      <c r="J64" s="0" t="s">
        <v>149</v>
      </c>
      <c r="K64" s="0" t="s">
        <v>123</v>
      </c>
      <c r="L64" s="0" t="s">
        <v>65</v>
      </c>
    </row>
    <row r="65" customFormat="false" ht="25.5" hidden="false" customHeight="true" outlineLevel="0" collapsed="false">
      <c r="A65" s="10" t="s">
        <v>147</v>
      </c>
      <c r="B65" s="8" t="s">
        <v>84</v>
      </c>
      <c r="C65" s="8" t="s">
        <v>20</v>
      </c>
      <c r="D65" s="5" t="s">
        <v>21</v>
      </c>
      <c r="E65" s="5" t="s">
        <v>22</v>
      </c>
      <c r="F65" s="8" t="s">
        <v>123</v>
      </c>
      <c r="G65" s="5" t="s">
        <v>150</v>
      </c>
      <c r="H65" s="8" t="s">
        <v>63</v>
      </c>
      <c r="I65" s="5" t="s">
        <v>123</v>
      </c>
      <c r="J65" s="0" t="s">
        <v>151</v>
      </c>
      <c r="K65" s="0" t="s">
        <v>123</v>
      </c>
      <c r="L65" s="0" t="s">
        <v>65</v>
      </c>
    </row>
    <row r="66" customFormat="false" ht="25.5" hidden="false" customHeight="true" outlineLevel="0" collapsed="false">
      <c r="A66" s="10" t="s">
        <v>147</v>
      </c>
      <c r="B66" s="8" t="s">
        <v>84</v>
      </c>
      <c r="C66" s="8" t="s">
        <v>24</v>
      </c>
      <c r="D66" s="5" t="s">
        <v>21</v>
      </c>
      <c r="E66" s="5" t="s">
        <v>25</v>
      </c>
      <c r="F66" s="8" t="s">
        <v>123</v>
      </c>
      <c r="G66" s="5" t="s">
        <v>150</v>
      </c>
      <c r="H66" s="8" t="s">
        <v>63</v>
      </c>
      <c r="I66" s="5" t="s">
        <v>123</v>
      </c>
      <c r="J66" s="0" t="s">
        <v>151</v>
      </c>
      <c r="K66" s="0" t="s">
        <v>123</v>
      </c>
      <c r="L66" s="0" t="s">
        <v>65</v>
      </c>
    </row>
    <row r="67" customFormat="false" ht="25.5" hidden="false" customHeight="true" outlineLevel="0" collapsed="false">
      <c r="A67" s="10" t="s">
        <v>147</v>
      </c>
      <c r="B67" s="8" t="s">
        <v>84</v>
      </c>
      <c r="C67" s="8" t="s">
        <v>27</v>
      </c>
      <c r="D67" s="5" t="s">
        <v>21</v>
      </c>
      <c r="E67" s="5" t="s">
        <v>28</v>
      </c>
      <c r="F67" s="8" t="s">
        <v>123</v>
      </c>
      <c r="G67" s="5" t="s">
        <v>150</v>
      </c>
      <c r="H67" s="8" t="s">
        <v>63</v>
      </c>
      <c r="I67" s="5" t="s">
        <v>123</v>
      </c>
      <c r="J67" s="0" t="s">
        <v>151</v>
      </c>
      <c r="K67" s="0" t="s">
        <v>123</v>
      </c>
      <c r="L67" s="0" t="s">
        <v>65</v>
      </c>
    </row>
    <row r="68" customFormat="false" ht="25.5" hidden="false" customHeight="true" outlineLevel="0" collapsed="false">
      <c r="A68" s="10" t="s">
        <v>147</v>
      </c>
      <c r="B68" s="8" t="s">
        <v>84</v>
      </c>
      <c r="C68" s="8" t="s">
        <v>30</v>
      </c>
      <c r="D68" s="5" t="s">
        <v>31</v>
      </c>
      <c r="E68" s="5" t="s">
        <v>32</v>
      </c>
      <c r="F68" s="8" t="s">
        <v>123</v>
      </c>
      <c r="G68" s="5" t="s">
        <v>150</v>
      </c>
      <c r="H68" s="8" t="s">
        <v>63</v>
      </c>
      <c r="I68" s="5" t="s">
        <v>123</v>
      </c>
      <c r="J68" s="0" t="s">
        <v>151</v>
      </c>
      <c r="K68" s="0" t="s">
        <v>123</v>
      </c>
      <c r="L68" s="0" t="s">
        <v>65</v>
      </c>
    </row>
    <row r="69" customFormat="false" ht="25.5" hidden="false" customHeight="true" outlineLevel="0" collapsed="false">
      <c r="A69" s="10" t="s">
        <v>147</v>
      </c>
      <c r="B69" s="8" t="s">
        <v>84</v>
      </c>
      <c r="C69" s="8" t="s">
        <v>34</v>
      </c>
      <c r="D69" s="5" t="s">
        <v>31</v>
      </c>
      <c r="E69" s="5" t="s">
        <v>35</v>
      </c>
      <c r="F69" s="8" t="s">
        <v>123</v>
      </c>
      <c r="G69" s="5" t="s">
        <v>150</v>
      </c>
      <c r="H69" s="8" t="s">
        <v>63</v>
      </c>
      <c r="I69" s="5" t="s">
        <v>123</v>
      </c>
      <c r="J69" s="0" t="s">
        <v>151</v>
      </c>
      <c r="K69" s="0" t="s">
        <v>123</v>
      </c>
      <c r="L69" s="0" t="s">
        <v>65</v>
      </c>
    </row>
    <row r="70" customFormat="false" ht="25.5" hidden="false" customHeight="true" outlineLevel="0" collapsed="false">
      <c r="A70" s="10" t="s">
        <v>147</v>
      </c>
      <c r="B70" s="8" t="s">
        <v>84</v>
      </c>
      <c r="C70" s="8" t="s">
        <v>37</v>
      </c>
      <c r="D70" s="5" t="s">
        <v>31</v>
      </c>
      <c r="E70" s="5" t="s">
        <v>38</v>
      </c>
      <c r="F70" s="8" t="s">
        <v>123</v>
      </c>
      <c r="G70" s="5" t="s">
        <v>150</v>
      </c>
      <c r="H70" s="8" t="s">
        <v>63</v>
      </c>
      <c r="I70" s="5" t="s">
        <v>123</v>
      </c>
      <c r="J70" s="0" t="s">
        <v>151</v>
      </c>
      <c r="K70" s="0" t="s">
        <v>123</v>
      </c>
      <c r="L70" s="0" t="s">
        <v>65</v>
      </c>
    </row>
    <row r="71" customFormat="false" ht="25.5" hidden="false" customHeight="true" outlineLevel="0" collapsed="false">
      <c r="A71" s="10" t="s">
        <v>147</v>
      </c>
      <c r="B71" s="8" t="s">
        <v>84</v>
      </c>
      <c r="C71" s="8" t="s">
        <v>40</v>
      </c>
      <c r="D71" s="5" t="s">
        <v>41</v>
      </c>
      <c r="E71" s="5" t="s">
        <v>42</v>
      </c>
      <c r="F71" s="8" t="s">
        <v>123</v>
      </c>
      <c r="G71" s="5" t="s">
        <v>150</v>
      </c>
      <c r="H71" s="8" t="s">
        <v>63</v>
      </c>
      <c r="I71" s="5" t="s">
        <v>123</v>
      </c>
      <c r="J71" s="0" t="s">
        <v>151</v>
      </c>
      <c r="K71" s="0" t="s">
        <v>123</v>
      </c>
      <c r="L71" s="0" t="s">
        <v>65</v>
      </c>
    </row>
    <row r="72" customFormat="false" ht="25.5" hidden="false" customHeight="true" outlineLevel="0" collapsed="false">
      <c r="A72" s="10" t="s">
        <v>147</v>
      </c>
      <c r="B72" s="8" t="s">
        <v>84</v>
      </c>
      <c r="C72" s="8" t="s">
        <v>44</v>
      </c>
      <c r="D72" s="5" t="s">
        <v>41</v>
      </c>
      <c r="E72" s="5" t="s">
        <v>45</v>
      </c>
      <c r="F72" s="8" t="s">
        <v>123</v>
      </c>
      <c r="G72" s="5" t="s">
        <v>150</v>
      </c>
      <c r="H72" s="8" t="s">
        <v>63</v>
      </c>
      <c r="I72" s="5" t="s">
        <v>123</v>
      </c>
      <c r="J72" s="0" t="s">
        <v>151</v>
      </c>
      <c r="K72" s="0" t="s">
        <v>123</v>
      </c>
      <c r="L72" s="0" t="s">
        <v>65</v>
      </c>
    </row>
    <row r="73" customFormat="false" ht="25.5" hidden="false" customHeight="true" outlineLevel="0" collapsed="false">
      <c r="A73" s="10" t="s">
        <v>147</v>
      </c>
      <c r="B73" s="8" t="s">
        <v>84</v>
      </c>
      <c r="C73" s="8" t="s">
        <v>47</v>
      </c>
      <c r="D73" s="5" t="s">
        <v>41</v>
      </c>
      <c r="E73" s="5" t="s">
        <v>48</v>
      </c>
      <c r="F73" s="8" t="s">
        <v>123</v>
      </c>
      <c r="G73" s="5" t="s">
        <v>150</v>
      </c>
      <c r="H73" s="8" t="s">
        <v>63</v>
      </c>
      <c r="I73" s="5" t="s">
        <v>123</v>
      </c>
      <c r="J73" s="0" t="s">
        <v>151</v>
      </c>
      <c r="K73" s="0" t="s">
        <v>123</v>
      </c>
      <c r="L73" s="0" t="s">
        <v>65</v>
      </c>
    </row>
    <row r="74" customFormat="false" ht="25.5" hidden="false" customHeight="true" outlineLevel="0" collapsed="false">
      <c r="A74" s="10" t="s">
        <v>147</v>
      </c>
      <c r="B74" s="8" t="s">
        <v>103</v>
      </c>
      <c r="C74" s="8" t="s">
        <v>20</v>
      </c>
      <c r="D74" s="5" t="s">
        <v>21</v>
      </c>
      <c r="E74" s="5" t="s">
        <v>22</v>
      </c>
      <c r="F74" s="8" t="n">
        <v>0</v>
      </c>
      <c r="G74" s="5" t="s">
        <v>152</v>
      </c>
      <c r="H74" s="8" t="s">
        <v>63</v>
      </c>
      <c r="I74" s="5" t="n">
        <v>0</v>
      </c>
      <c r="J74" s="0" t="s">
        <v>153</v>
      </c>
      <c r="K74" s="0" t="n">
        <v>0</v>
      </c>
      <c r="L74" s="0" t="s">
        <v>65</v>
      </c>
    </row>
    <row r="75" customFormat="false" ht="25.5" hidden="false" customHeight="true" outlineLevel="0" collapsed="false">
      <c r="A75" s="10" t="s">
        <v>147</v>
      </c>
      <c r="B75" s="8" t="s">
        <v>103</v>
      </c>
      <c r="C75" s="8" t="s">
        <v>24</v>
      </c>
      <c r="D75" s="5" t="s">
        <v>21</v>
      </c>
      <c r="E75" s="5" t="s">
        <v>25</v>
      </c>
      <c r="F75" s="8" t="n">
        <v>0</v>
      </c>
      <c r="G75" s="5" t="s">
        <v>154</v>
      </c>
      <c r="H75" s="8" t="s">
        <v>63</v>
      </c>
      <c r="I75" s="5" t="n">
        <v>0</v>
      </c>
      <c r="J75" s="0" t="s">
        <v>155</v>
      </c>
      <c r="K75" s="0" t="n">
        <v>0</v>
      </c>
      <c r="L75" s="0" t="s">
        <v>65</v>
      </c>
    </row>
    <row r="76" customFormat="false" ht="25.5" hidden="false" customHeight="true" outlineLevel="0" collapsed="false">
      <c r="A76" s="10" t="s">
        <v>147</v>
      </c>
      <c r="B76" s="8" t="s">
        <v>103</v>
      </c>
      <c r="C76" s="8" t="s">
        <v>27</v>
      </c>
      <c r="D76" s="5" t="s">
        <v>21</v>
      </c>
      <c r="E76" s="5" t="s">
        <v>28</v>
      </c>
      <c r="F76" s="8" t="n">
        <v>1</v>
      </c>
      <c r="G76" s="5" t="s">
        <v>156</v>
      </c>
      <c r="H76" s="8" t="s">
        <v>63</v>
      </c>
      <c r="I76" s="5" t="n">
        <v>2</v>
      </c>
      <c r="J76" s="0" t="s">
        <v>157</v>
      </c>
      <c r="K76" s="0" t="n">
        <v>2</v>
      </c>
      <c r="L76" s="0" t="s">
        <v>158</v>
      </c>
    </row>
    <row r="77" customFormat="false" ht="25.5" hidden="false" customHeight="true" outlineLevel="0" collapsed="false">
      <c r="A77" s="10" t="s">
        <v>147</v>
      </c>
      <c r="B77" s="8" t="s">
        <v>103</v>
      </c>
      <c r="C77" s="8" t="s">
        <v>30</v>
      </c>
      <c r="D77" s="5" t="s">
        <v>31</v>
      </c>
      <c r="E77" s="5" t="s">
        <v>32</v>
      </c>
      <c r="F77" s="8" t="n">
        <v>1</v>
      </c>
      <c r="G77" s="5" t="s">
        <v>159</v>
      </c>
      <c r="H77" s="8" t="s">
        <v>63</v>
      </c>
      <c r="I77" s="5" t="n">
        <v>2</v>
      </c>
      <c r="J77" s="0" t="s">
        <v>160</v>
      </c>
      <c r="K77" s="0" t="n">
        <v>2</v>
      </c>
      <c r="L77" s="0" t="s">
        <v>161</v>
      </c>
    </row>
    <row r="78" customFormat="false" ht="25.5" hidden="false" customHeight="true" outlineLevel="0" collapsed="false">
      <c r="A78" s="10" t="s">
        <v>147</v>
      </c>
      <c r="B78" s="8" t="s">
        <v>103</v>
      </c>
      <c r="C78" s="8" t="s">
        <v>34</v>
      </c>
      <c r="D78" s="5" t="s">
        <v>31</v>
      </c>
      <c r="E78" s="5" t="s">
        <v>35</v>
      </c>
      <c r="F78" s="8" t="n">
        <v>1</v>
      </c>
      <c r="G78" s="5" t="s">
        <v>162</v>
      </c>
      <c r="H78" s="8" t="s">
        <v>63</v>
      </c>
      <c r="I78" s="5" t="n">
        <v>1</v>
      </c>
      <c r="J78" s="0" t="s">
        <v>163</v>
      </c>
      <c r="K78" s="0" t="n">
        <v>1</v>
      </c>
      <c r="L78" s="0" t="s">
        <v>65</v>
      </c>
    </row>
    <row r="79" customFormat="false" ht="25.5" hidden="false" customHeight="true" outlineLevel="0" collapsed="false">
      <c r="A79" s="10" t="s">
        <v>147</v>
      </c>
      <c r="B79" s="8" t="s">
        <v>103</v>
      </c>
      <c r="C79" s="8" t="s">
        <v>37</v>
      </c>
      <c r="D79" s="5" t="s">
        <v>31</v>
      </c>
      <c r="E79" s="5" t="s">
        <v>38</v>
      </c>
      <c r="F79" s="8" t="n">
        <v>0</v>
      </c>
      <c r="G79" s="5" t="s">
        <v>164</v>
      </c>
      <c r="H79" s="8" t="s">
        <v>63</v>
      </c>
      <c r="I79" s="5" t="n">
        <v>0</v>
      </c>
      <c r="J79" s="0" t="s">
        <v>165</v>
      </c>
      <c r="K79" s="0" t="n">
        <v>0</v>
      </c>
      <c r="L79" s="0" t="s">
        <v>65</v>
      </c>
    </row>
    <row r="80" customFormat="false" ht="25.5" hidden="false" customHeight="true" outlineLevel="0" collapsed="false">
      <c r="A80" s="10" t="s">
        <v>147</v>
      </c>
      <c r="B80" s="8" t="s">
        <v>103</v>
      </c>
      <c r="C80" s="8" t="s">
        <v>40</v>
      </c>
      <c r="D80" s="5" t="s">
        <v>41</v>
      </c>
      <c r="E80" s="5" t="s">
        <v>42</v>
      </c>
      <c r="F80" s="8" t="n">
        <v>0</v>
      </c>
      <c r="G80" s="5" t="s">
        <v>166</v>
      </c>
      <c r="H80" s="8" t="s">
        <v>63</v>
      </c>
      <c r="I80" s="5" t="n">
        <v>0</v>
      </c>
      <c r="J80" s="0" t="s">
        <v>167</v>
      </c>
      <c r="K80" s="0" t="n">
        <v>0</v>
      </c>
      <c r="L80" s="0" t="s">
        <v>65</v>
      </c>
    </row>
    <row r="81" customFormat="false" ht="25.5" hidden="false" customHeight="true" outlineLevel="0" collapsed="false">
      <c r="A81" s="10" t="s">
        <v>147</v>
      </c>
      <c r="B81" s="8" t="s">
        <v>103</v>
      </c>
      <c r="C81" s="8" t="s">
        <v>44</v>
      </c>
      <c r="D81" s="5" t="s">
        <v>41</v>
      </c>
      <c r="E81" s="5" t="s">
        <v>45</v>
      </c>
      <c r="F81" s="8" t="n">
        <v>2</v>
      </c>
      <c r="G81" s="5" t="s">
        <v>168</v>
      </c>
      <c r="H81" s="8" t="s">
        <v>63</v>
      </c>
      <c r="I81" s="5" t="n">
        <v>2</v>
      </c>
      <c r="J81" s="0" t="s">
        <v>169</v>
      </c>
      <c r="K81" s="0" t="n">
        <v>2</v>
      </c>
      <c r="L81" s="0" t="s">
        <v>65</v>
      </c>
    </row>
    <row r="82" customFormat="false" ht="25.5" hidden="false" customHeight="true" outlineLevel="0" collapsed="false">
      <c r="A82" s="10" t="s">
        <v>147</v>
      </c>
      <c r="B82" s="8" t="s">
        <v>103</v>
      </c>
      <c r="C82" s="8" t="s">
        <v>47</v>
      </c>
      <c r="D82" s="5" t="s">
        <v>41</v>
      </c>
      <c r="E82" s="5" t="s">
        <v>48</v>
      </c>
      <c r="F82" s="8" t="n">
        <v>1</v>
      </c>
      <c r="G82" s="5" t="s">
        <v>170</v>
      </c>
      <c r="H82" s="8" t="s">
        <v>63</v>
      </c>
      <c r="I82" s="5" t="n">
        <v>0</v>
      </c>
      <c r="J82" s="0" t="s">
        <v>171</v>
      </c>
      <c r="K82" s="0" t="n">
        <v>1</v>
      </c>
      <c r="L82" s="0" t="s">
        <v>172</v>
      </c>
    </row>
    <row r="83" customFormat="false" ht="25.5" hidden="false" customHeight="true" outlineLevel="0" collapsed="false">
      <c r="A83" s="11" t="s">
        <v>173</v>
      </c>
      <c r="B83" s="8" t="s">
        <v>61</v>
      </c>
      <c r="C83" s="8" t="s">
        <v>20</v>
      </c>
      <c r="D83" s="5" t="s">
        <v>21</v>
      </c>
      <c r="E83" s="5" t="s">
        <v>22</v>
      </c>
      <c r="F83" s="8" t="n">
        <v>2</v>
      </c>
      <c r="G83" s="5" t="s">
        <v>174</v>
      </c>
      <c r="H83" s="8" t="s">
        <v>63</v>
      </c>
      <c r="I83" s="5" t="n">
        <v>2</v>
      </c>
      <c r="J83" s="0" t="s">
        <v>175</v>
      </c>
      <c r="K83" s="0" t="n">
        <v>2</v>
      </c>
      <c r="L83" s="0" t="s">
        <v>65</v>
      </c>
    </row>
    <row r="84" customFormat="false" ht="25.5" hidden="false" customHeight="true" outlineLevel="0" collapsed="false">
      <c r="A84" s="11" t="s">
        <v>173</v>
      </c>
      <c r="B84" s="8" t="s">
        <v>61</v>
      </c>
      <c r="C84" s="8" t="s">
        <v>24</v>
      </c>
      <c r="D84" s="5" t="s">
        <v>21</v>
      </c>
      <c r="E84" s="5" t="s">
        <v>25</v>
      </c>
      <c r="F84" s="8" t="n">
        <v>2</v>
      </c>
      <c r="G84" s="5" t="s">
        <v>176</v>
      </c>
      <c r="H84" s="8" t="s">
        <v>63</v>
      </c>
      <c r="I84" s="5" t="n">
        <v>1</v>
      </c>
      <c r="J84" s="0" t="s">
        <v>177</v>
      </c>
      <c r="K84" s="0" t="n">
        <v>2</v>
      </c>
      <c r="L84" s="0" t="s">
        <v>178</v>
      </c>
    </row>
    <row r="85" customFormat="false" ht="25.5" hidden="false" customHeight="true" outlineLevel="0" collapsed="false">
      <c r="A85" s="11" t="s">
        <v>173</v>
      </c>
      <c r="B85" s="8" t="s">
        <v>61</v>
      </c>
      <c r="C85" s="8" t="s">
        <v>27</v>
      </c>
      <c r="D85" s="5" t="s">
        <v>21</v>
      </c>
      <c r="E85" s="5" t="s">
        <v>28</v>
      </c>
      <c r="F85" s="8" t="n">
        <v>1</v>
      </c>
      <c r="G85" s="5" t="s">
        <v>179</v>
      </c>
      <c r="H85" s="8" t="s">
        <v>63</v>
      </c>
      <c r="I85" s="5" t="n">
        <v>1</v>
      </c>
      <c r="J85" s="0" t="s">
        <v>180</v>
      </c>
      <c r="K85" s="0" t="n">
        <v>1</v>
      </c>
      <c r="L85" s="0" t="s">
        <v>65</v>
      </c>
    </row>
    <row r="86" customFormat="false" ht="25.5" hidden="false" customHeight="true" outlineLevel="0" collapsed="false">
      <c r="A86" s="11" t="s">
        <v>173</v>
      </c>
      <c r="B86" s="8" t="s">
        <v>61</v>
      </c>
      <c r="C86" s="8" t="s">
        <v>30</v>
      </c>
      <c r="D86" s="5" t="s">
        <v>31</v>
      </c>
      <c r="E86" s="5" t="s">
        <v>32</v>
      </c>
      <c r="F86" s="8" t="n">
        <v>1</v>
      </c>
      <c r="G86" s="5" t="s">
        <v>181</v>
      </c>
      <c r="H86" s="8" t="s">
        <v>63</v>
      </c>
      <c r="I86" s="5" t="n">
        <v>1</v>
      </c>
      <c r="J86" s="0" t="s">
        <v>182</v>
      </c>
      <c r="K86" s="0" t="n">
        <v>1</v>
      </c>
      <c r="L86" s="0" t="s">
        <v>65</v>
      </c>
    </row>
    <row r="87" customFormat="false" ht="25.5" hidden="false" customHeight="true" outlineLevel="0" collapsed="false">
      <c r="A87" s="11" t="s">
        <v>173</v>
      </c>
      <c r="B87" s="8" t="s">
        <v>61</v>
      </c>
      <c r="C87" s="8" t="s">
        <v>34</v>
      </c>
      <c r="D87" s="5" t="s">
        <v>31</v>
      </c>
      <c r="E87" s="5" t="s">
        <v>35</v>
      </c>
      <c r="F87" s="8" t="n">
        <v>1</v>
      </c>
      <c r="G87" s="5" t="s">
        <v>183</v>
      </c>
      <c r="H87" s="8" t="s">
        <v>63</v>
      </c>
      <c r="I87" s="5" t="n">
        <v>1</v>
      </c>
      <c r="J87" s="0" t="s">
        <v>184</v>
      </c>
      <c r="K87" s="0" t="n">
        <v>1</v>
      </c>
      <c r="L87" s="0" t="s">
        <v>65</v>
      </c>
    </row>
    <row r="88" customFormat="false" ht="25.5" hidden="false" customHeight="true" outlineLevel="0" collapsed="false">
      <c r="A88" s="11" t="s">
        <v>173</v>
      </c>
      <c r="B88" s="8" t="s">
        <v>61</v>
      </c>
      <c r="C88" s="8" t="s">
        <v>37</v>
      </c>
      <c r="D88" s="5" t="s">
        <v>31</v>
      </c>
      <c r="E88" s="5" t="s">
        <v>38</v>
      </c>
      <c r="F88" s="8" t="n">
        <v>0</v>
      </c>
      <c r="G88" s="5" t="s">
        <v>185</v>
      </c>
      <c r="H88" s="8" t="s">
        <v>63</v>
      </c>
      <c r="I88" s="5" t="n">
        <v>0</v>
      </c>
      <c r="J88" s="0" t="s">
        <v>186</v>
      </c>
      <c r="K88" s="0" t="n">
        <v>0</v>
      </c>
      <c r="L88" s="0" t="s">
        <v>65</v>
      </c>
    </row>
    <row r="89" customFormat="false" ht="25.5" hidden="false" customHeight="true" outlineLevel="0" collapsed="false">
      <c r="A89" s="11" t="s">
        <v>173</v>
      </c>
      <c r="B89" s="8" t="s">
        <v>61</v>
      </c>
      <c r="C89" s="8" t="s">
        <v>40</v>
      </c>
      <c r="D89" s="5" t="s">
        <v>41</v>
      </c>
      <c r="E89" s="5" t="s">
        <v>42</v>
      </c>
      <c r="F89" s="8" t="n">
        <v>0</v>
      </c>
      <c r="G89" s="5" t="s">
        <v>187</v>
      </c>
      <c r="H89" s="8" t="s">
        <v>63</v>
      </c>
      <c r="I89" s="5" t="n">
        <v>1</v>
      </c>
      <c r="J89" s="0" t="s">
        <v>188</v>
      </c>
      <c r="K89" s="0" t="n">
        <v>0</v>
      </c>
      <c r="L89" s="0" t="s">
        <v>189</v>
      </c>
    </row>
    <row r="90" customFormat="false" ht="25.5" hidden="false" customHeight="true" outlineLevel="0" collapsed="false">
      <c r="A90" s="11" t="s">
        <v>173</v>
      </c>
      <c r="B90" s="8" t="s">
        <v>61</v>
      </c>
      <c r="C90" s="8" t="s">
        <v>44</v>
      </c>
      <c r="D90" s="5" t="s">
        <v>41</v>
      </c>
      <c r="E90" s="5" t="s">
        <v>45</v>
      </c>
      <c r="F90" s="8" t="n">
        <v>1</v>
      </c>
      <c r="G90" s="5" t="s">
        <v>190</v>
      </c>
      <c r="H90" s="8" t="s">
        <v>63</v>
      </c>
      <c r="I90" s="5" t="n">
        <v>1</v>
      </c>
      <c r="J90" s="0" t="s">
        <v>191</v>
      </c>
      <c r="K90" s="0" t="n">
        <v>1</v>
      </c>
      <c r="L90" s="0" t="s">
        <v>65</v>
      </c>
    </row>
    <row r="91" customFormat="false" ht="25.5" hidden="false" customHeight="true" outlineLevel="0" collapsed="false">
      <c r="A91" s="11" t="s">
        <v>173</v>
      </c>
      <c r="B91" s="8" t="s">
        <v>61</v>
      </c>
      <c r="C91" s="8" t="s">
        <v>47</v>
      </c>
      <c r="D91" s="5" t="s">
        <v>41</v>
      </c>
      <c r="E91" s="5" t="s">
        <v>48</v>
      </c>
      <c r="F91" s="8" t="n">
        <v>1</v>
      </c>
      <c r="G91" s="5" t="s">
        <v>192</v>
      </c>
      <c r="H91" s="8" t="s">
        <v>63</v>
      </c>
      <c r="I91" s="5" t="n">
        <v>2</v>
      </c>
      <c r="J91" s="0" t="s">
        <v>193</v>
      </c>
      <c r="K91" s="0" t="n">
        <v>2</v>
      </c>
      <c r="L91" s="0" t="s">
        <v>194</v>
      </c>
    </row>
    <row r="92" customFormat="false" ht="25.5" hidden="false" customHeight="true" outlineLevel="0" collapsed="false">
      <c r="A92" s="11" t="s">
        <v>173</v>
      </c>
      <c r="B92" s="8" t="s">
        <v>84</v>
      </c>
      <c r="C92" s="8" t="s">
        <v>20</v>
      </c>
      <c r="D92" s="5" t="s">
        <v>21</v>
      </c>
      <c r="E92" s="5" t="s">
        <v>22</v>
      </c>
      <c r="F92" s="8" t="n">
        <v>2</v>
      </c>
      <c r="G92" s="5" t="s">
        <v>195</v>
      </c>
      <c r="H92" s="8" t="s">
        <v>63</v>
      </c>
      <c r="I92" s="5" t="n">
        <v>2</v>
      </c>
      <c r="J92" s="0" t="s">
        <v>196</v>
      </c>
      <c r="K92" s="0" t="n">
        <v>2</v>
      </c>
      <c r="L92" s="0" t="s">
        <v>65</v>
      </c>
    </row>
    <row r="93" customFormat="false" ht="25.5" hidden="false" customHeight="true" outlineLevel="0" collapsed="false">
      <c r="A93" s="11" t="s">
        <v>173</v>
      </c>
      <c r="B93" s="8" t="s">
        <v>84</v>
      </c>
      <c r="C93" s="8" t="s">
        <v>24</v>
      </c>
      <c r="D93" s="5" t="s">
        <v>21</v>
      </c>
      <c r="E93" s="5" t="s">
        <v>25</v>
      </c>
      <c r="F93" s="8" t="n">
        <v>2</v>
      </c>
      <c r="G93" s="5" t="s">
        <v>197</v>
      </c>
      <c r="H93" s="8" t="s">
        <v>63</v>
      </c>
      <c r="I93" s="5" t="n">
        <v>2</v>
      </c>
      <c r="J93" s="0" t="s">
        <v>198</v>
      </c>
      <c r="K93" s="0" t="n">
        <v>2</v>
      </c>
      <c r="L93" s="0" t="s">
        <v>65</v>
      </c>
    </row>
    <row r="94" customFormat="false" ht="25.5" hidden="false" customHeight="true" outlineLevel="0" collapsed="false">
      <c r="A94" s="11" t="s">
        <v>173</v>
      </c>
      <c r="B94" s="8" t="s">
        <v>84</v>
      </c>
      <c r="C94" s="8" t="s">
        <v>27</v>
      </c>
      <c r="D94" s="5" t="s">
        <v>21</v>
      </c>
      <c r="E94" s="5" t="s">
        <v>28</v>
      </c>
      <c r="F94" s="8" t="n">
        <v>2</v>
      </c>
      <c r="G94" s="5" t="s">
        <v>199</v>
      </c>
      <c r="H94" s="8" t="s">
        <v>63</v>
      </c>
      <c r="I94" s="5" t="n">
        <v>2</v>
      </c>
      <c r="J94" s="0" t="s">
        <v>200</v>
      </c>
      <c r="K94" s="0" t="n">
        <v>2</v>
      </c>
      <c r="L94" s="0" t="s">
        <v>65</v>
      </c>
    </row>
    <row r="95" customFormat="false" ht="25.5" hidden="false" customHeight="true" outlineLevel="0" collapsed="false">
      <c r="A95" s="11" t="s">
        <v>173</v>
      </c>
      <c r="B95" s="8" t="s">
        <v>84</v>
      </c>
      <c r="C95" s="8" t="s">
        <v>30</v>
      </c>
      <c r="D95" s="5" t="s">
        <v>31</v>
      </c>
      <c r="E95" s="5" t="s">
        <v>32</v>
      </c>
      <c r="F95" s="8" t="n">
        <v>2</v>
      </c>
      <c r="G95" s="5" t="s">
        <v>201</v>
      </c>
      <c r="H95" s="8" t="s">
        <v>63</v>
      </c>
      <c r="I95" s="5" t="n">
        <v>2</v>
      </c>
      <c r="J95" s="0" t="s">
        <v>202</v>
      </c>
      <c r="K95" s="0" t="n">
        <v>2</v>
      </c>
      <c r="L95" s="0" t="s">
        <v>65</v>
      </c>
    </row>
    <row r="96" customFormat="false" ht="25.5" hidden="false" customHeight="true" outlineLevel="0" collapsed="false">
      <c r="A96" s="11" t="s">
        <v>173</v>
      </c>
      <c r="B96" s="8" t="s">
        <v>84</v>
      </c>
      <c r="C96" s="8" t="s">
        <v>34</v>
      </c>
      <c r="D96" s="5" t="s">
        <v>31</v>
      </c>
      <c r="E96" s="5" t="s">
        <v>35</v>
      </c>
      <c r="F96" s="8" t="n">
        <v>2</v>
      </c>
      <c r="G96" s="5" t="s">
        <v>203</v>
      </c>
      <c r="H96" s="8" t="s">
        <v>63</v>
      </c>
      <c r="I96" s="5" t="n">
        <v>1</v>
      </c>
      <c r="J96" s="0" t="s">
        <v>204</v>
      </c>
      <c r="K96" s="0" t="n">
        <v>2</v>
      </c>
      <c r="L96" s="0" t="s">
        <v>205</v>
      </c>
    </row>
    <row r="97" customFormat="false" ht="25.5" hidden="false" customHeight="true" outlineLevel="0" collapsed="false">
      <c r="A97" s="11" t="s">
        <v>173</v>
      </c>
      <c r="B97" s="8" t="s">
        <v>84</v>
      </c>
      <c r="C97" s="8" t="s">
        <v>37</v>
      </c>
      <c r="D97" s="5" t="s">
        <v>31</v>
      </c>
      <c r="E97" s="5" t="s">
        <v>38</v>
      </c>
      <c r="F97" s="8" t="n">
        <v>1</v>
      </c>
      <c r="G97" s="5" t="s">
        <v>206</v>
      </c>
      <c r="H97" s="8" t="s">
        <v>63</v>
      </c>
      <c r="I97" s="5" t="n">
        <v>0</v>
      </c>
      <c r="J97" s="0" t="s">
        <v>207</v>
      </c>
      <c r="K97" s="0" t="n">
        <v>0</v>
      </c>
      <c r="L97" s="0" t="s">
        <v>208</v>
      </c>
    </row>
    <row r="98" customFormat="false" ht="25.5" hidden="false" customHeight="true" outlineLevel="0" collapsed="false">
      <c r="A98" s="11" t="s">
        <v>173</v>
      </c>
      <c r="B98" s="8" t="s">
        <v>84</v>
      </c>
      <c r="C98" s="8" t="s">
        <v>40</v>
      </c>
      <c r="D98" s="5" t="s">
        <v>41</v>
      </c>
      <c r="E98" s="5" t="s">
        <v>42</v>
      </c>
      <c r="F98" s="8" t="n">
        <v>1</v>
      </c>
      <c r="G98" s="5" t="s">
        <v>209</v>
      </c>
      <c r="H98" s="8" t="s">
        <v>63</v>
      </c>
      <c r="I98" s="5" t="n">
        <v>2</v>
      </c>
      <c r="J98" s="0" t="s">
        <v>210</v>
      </c>
      <c r="K98" s="0" t="n">
        <v>2</v>
      </c>
      <c r="L98" s="0" t="s">
        <v>211</v>
      </c>
    </row>
    <row r="99" customFormat="false" ht="25.5" hidden="false" customHeight="true" outlineLevel="0" collapsed="false">
      <c r="A99" s="11" t="s">
        <v>173</v>
      </c>
      <c r="B99" s="8" t="s">
        <v>84</v>
      </c>
      <c r="C99" s="8" t="s">
        <v>44</v>
      </c>
      <c r="D99" s="5" t="s">
        <v>41</v>
      </c>
      <c r="E99" s="5" t="s">
        <v>45</v>
      </c>
      <c r="F99" s="8" t="n">
        <v>2</v>
      </c>
      <c r="G99" s="5" t="s">
        <v>212</v>
      </c>
      <c r="H99" s="8" t="s">
        <v>63</v>
      </c>
      <c r="I99" s="5" t="n">
        <v>2</v>
      </c>
      <c r="J99" s="0" t="s">
        <v>213</v>
      </c>
      <c r="K99" s="0" t="n">
        <v>2</v>
      </c>
      <c r="L99" s="0" t="s">
        <v>65</v>
      </c>
    </row>
    <row r="100" customFormat="false" ht="25.5" hidden="false" customHeight="true" outlineLevel="0" collapsed="false">
      <c r="A100" s="11" t="s">
        <v>173</v>
      </c>
      <c r="B100" s="8" t="s">
        <v>84</v>
      </c>
      <c r="C100" s="8" t="s">
        <v>47</v>
      </c>
      <c r="D100" s="5" t="s">
        <v>41</v>
      </c>
      <c r="E100" s="5" t="s">
        <v>48</v>
      </c>
      <c r="F100" s="8" t="n">
        <v>1</v>
      </c>
      <c r="G100" s="5" t="s">
        <v>214</v>
      </c>
      <c r="H100" s="8" t="s">
        <v>63</v>
      </c>
      <c r="I100" s="5" t="n">
        <v>2</v>
      </c>
      <c r="J100" s="0" t="s">
        <v>215</v>
      </c>
      <c r="K100" s="0" t="n">
        <v>2</v>
      </c>
      <c r="L100" s="0" t="s">
        <v>216</v>
      </c>
    </row>
    <row r="101" customFormat="false" ht="25.5" hidden="false" customHeight="true" outlineLevel="0" collapsed="false">
      <c r="A101" s="11" t="s">
        <v>173</v>
      </c>
      <c r="B101" s="8" t="s">
        <v>103</v>
      </c>
      <c r="C101" s="8" t="s">
        <v>20</v>
      </c>
      <c r="D101" s="5" t="s">
        <v>21</v>
      </c>
      <c r="E101" s="5" t="s">
        <v>22</v>
      </c>
      <c r="F101" s="8" t="n">
        <v>2</v>
      </c>
      <c r="G101" s="5" t="s">
        <v>217</v>
      </c>
      <c r="H101" s="8" t="s">
        <v>63</v>
      </c>
      <c r="I101" s="5" t="n">
        <v>2</v>
      </c>
      <c r="J101" s="0" t="s">
        <v>218</v>
      </c>
      <c r="K101" s="0" t="n">
        <v>2</v>
      </c>
      <c r="L101" s="0" t="s">
        <v>65</v>
      </c>
    </row>
    <row r="102" customFormat="false" ht="25.5" hidden="false" customHeight="true" outlineLevel="0" collapsed="false">
      <c r="A102" s="11" t="s">
        <v>173</v>
      </c>
      <c r="B102" s="8" t="s">
        <v>103</v>
      </c>
      <c r="C102" s="8" t="s">
        <v>24</v>
      </c>
      <c r="D102" s="5" t="s">
        <v>21</v>
      </c>
      <c r="E102" s="5" t="s">
        <v>25</v>
      </c>
      <c r="F102" s="8" t="n">
        <v>2</v>
      </c>
      <c r="G102" s="5" t="s">
        <v>219</v>
      </c>
      <c r="H102" s="8" t="s">
        <v>63</v>
      </c>
      <c r="I102" s="5" t="n">
        <v>2</v>
      </c>
      <c r="J102" s="0" t="s">
        <v>220</v>
      </c>
      <c r="K102" s="0" t="n">
        <v>2</v>
      </c>
      <c r="L102" s="0" t="s">
        <v>65</v>
      </c>
    </row>
    <row r="103" customFormat="false" ht="25.5" hidden="false" customHeight="true" outlineLevel="0" collapsed="false">
      <c r="A103" s="11" t="s">
        <v>173</v>
      </c>
      <c r="B103" s="8" t="s">
        <v>103</v>
      </c>
      <c r="C103" s="8" t="s">
        <v>27</v>
      </c>
      <c r="D103" s="5" t="s">
        <v>21</v>
      </c>
      <c r="E103" s="5" t="s">
        <v>28</v>
      </c>
      <c r="F103" s="8" t="n">
        <v>2</v>
      </c>
      <c r="G103" s="5" t="s">
        <v>221</v>
      </c>
      <c r="H103" s="8" t="s">
        <v>63</v>
      </c>
      <c r="I103" s="5" t="n">
        <v>2</v>
      </c>
      <c r="J103" s="0" t="s">
        <v>222</v>
      </c>
      <c r="K103" s="0" t="n">
        <v>2</v>
      </c>
      <c r="L103" s="0" t="s">
        <v>65</v>
      </c>
    </row>
    <row r="104" customFormat="false" ht="25.5" hidden="false" customHeight="true" outlineLevel="0" collapsed="false">
      <c r="A104" s="11" t="s">
        <v>173</v>
      </c>
      <c r="B104" s="8" t="s">
        <v>103</v>
      </c>
      <c r="C104" s="8" t="s">
        <v>30</v>
      </c>
      <c r="D104" s="5" t="s">
        <v>31</v>
      </c>
      <c r="E104" s="5" t="s">
        <v>32</v>
      </c>
      <c r="F104" s="8" t="n">
        <v>1</v>
      </c>
      <c r="G104" s="5" t="s">
        <v>223</v>
      </c>
      <c r="H104" s="8" t="s">
        <v>63</v>
      </c>
      <c r="I104" s="5" t="n">
        <v>1</v>
      </c>
      <c r="J104" s="0" t="s">
        <v>224</v>
      </c>
      <c r="K104" s="0" t="n">
        <v>1</v>
      </c>
      <c r="L104" s="0" t="s">
        <v>65</v>
      </c>
    </row>
    <row r="105" customFormat="false" ht="25.5" hidden="false" customHeight="true" outlineLevel="0" collapsed="false">
      <c r="A105" s="11" t="s">
        <v>173</v>
      </c>
      <c r="B105" s="8" t="s">
        <v>103</v>
      </c>
      <c r="C105" s="8" t="s">
        <v>34</v>
      </c>
      <c r="D105" s="5" t="s">
        <v>31</v>
      </c>
      <c r="E105" s="5" t="s">
        <v>35</v>
      </c>
      <c r="F105" s="8" t="n">
        <v>2</v>
      </c>
      <c r="G105" s="5" t="s">
        <v>225</v>
      </c>
      <c r="H105" s="8" t="s">
        <v>63</v>
      </c>
      <c r="I105" s="5" t="n">
        <v>2</v>
      </c>
      <c r="J105" s="0" t="s">
        <v>226</v>
      </c>
      <c r="K105" s="0" t="n">
        <v>2</v>
      </c>
      <c r="L105" s="0" t="s">
        <v>65</v>
      </c>
    </row>
    <row r="106" customFormat="false" ht="25.5" hidden="false" customHeight="true" outlineLevel="0" collapsed="false">
      <c r="A106" s="11" t="s">
        <v>173</v>
      </c>
      <c r="B106" s="8" t="s">
        <v>103</v>
      </c>
      <c r="C106" s="8" t="s">
        <v>37</v>
      </c>
      <c r="D106" s="5" t="s">
        <v>31</v>
      </c>
      <c r="E106" s="5" t="s">
        <v>38</v>
      </c>
      <c r="F106" s="8" t="n">
        <v>1</v>
      </c>
      <c r="G106" s="5" t="s">
        <v>227</v>
      </c>
      <c r="H106" s="8" t="s">
        <v>63</v>
      </c>
      <c r="I106" s="5" t="n">
        <v>2</v>
      </c>
      <c r="J106" s="0" t="s">
        <v>228</v>
      </c>
      <c r="K106" s="0" t="n">
        <v>2</v>
      </c>
      <c r="L106" s="0" t="s">
        <v>229</v>
      </c>
    </row>
    <row r="107" customFormat="false" ht="25.5" hidden="false" customHeight="true" outlineLevel="0" collapsed="false">
      <c r="A107" s="11" t="s">
        <v>173</v>
      </c>
      <c r="B107" s="8" t="s">
        <v>103</v>
      </c>
      <c r="C107" s="8" t="s">
        <v>40</v>
      </c>
      <c r="D107" s="5" t="s">
        <v>41</v>
      </c>
      <c r="E107" s="5" t="s">
        <v>42</v>
      </c>
      <c r="F107" s="8" t="n">
        <v>2</v>
      </c>
      <c r="G107" s="5" t="s">
        <v>230</v>
      </c>
      <c r="H107" s="8" t="s">
        <v>63</v>
      </c>
      <c r="I107" s="5" t="n">
        <v>2</v>
      </c>
      <c r="J107" s="0" t="s">
        <v>231</v>
      </c>
      <c r="K107" s="0" t="n">
        <v>2</v>
      </c>
      <c r="L107" s="0" t="s">
        <v>65</v>
      </c>
    </row>
    <row r="108" customFormat="false" ht="25.5" hidden="false" customHeight="true" outlineLevel="0" collapsed="false">
      <c r="A108" s="11" t="s">
        <v>173</v>
      </c>
      <c r="B108" s="8" t="s">
        <v>103</v>
      </c>
      <c r="C108" s="8" t="s">
        <v>44</v>
      </c>
      <c r="D108" s="5" t="s">
        <v>41</v>
      </c>
      <c r="E108" s="5" t="s">
        <v>45</v>
      </c>
      <c r="F108" s="8" t="n">
        <v>2</v>
      </c>
      <c r="G108" s="5" t="s">
        <v>232</v>
      </c>
      <c r="H108" s="8" t="s">
        <v>63</v>
      </c>
      <c r="I108" s="5" t="n">
        <v>2</v>
      </c>
      <c r="J108" s="0" t="s">
        <v>233</v>
      </c>
      <c r="K108" s="0" t="n">
        <v>2</v>
      </c>
      <c r="L108" s="0" t="s">
        <v>65</v>
      </c>
    </row>
    <row r="109" customFormat="false" ht="25.5" hidden="false" customHeight="true" outlineLevel="0" collapsed="false">
      <c r="A109" s="11" t="s">
        <v>173</v>
      </c>
      <c r="B109" s="8" t="s">
        <v>103</v>
      </c>
      <c r="C109" s="8" t="s">
        <v>47</v>
      </c>
      <c r="D109" s="5" t="s">
        <v>41</v>
      </c>
      <c r="E109" s="5" t="s">
        <v>48</v>
      </c>
      <c r="F109" s="8" t="n">
        <v>2</v>
      </c>
      <c r="G109" s="5" t="s">
        <v>234</v>
      </c>
      <c r="H109" s="8" t="s">
        <v>63</v>
      </c>
      <c r="I109" s="5" t="n">
        <v>2</v>
      </c>
      <c r="J109" s="0" t="s">
        <v>235</v>
      </c>
      <c r="K109" s="0" t="n">
        <v>2</v>
      </c>
      <c r="L109" s="0" t="s">
        <v>65</v>
      </c>
    </row>
  </sheetData>
  <dataValidations count="1">
    <dataValidation allowBlank="true" errorStyle="stop" operator="between" showDropDown="false" showErrorMessage="false" showInputMessage="false" sqref="F2:F109" type="list">
      <formula1>"0,1,2,N/A"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8"/>
    <col collapsed="false" customWidth="true" hidden="false" outlineLevel="0" max="10" min="2" style="0" width="12"/>
  </cols>
  <sheetData>
    <row r="1" customFormat="false" ht="15.75" hidden="false" customHeight="true" outlineLevel="0" collapsed="false">
      <c r="A1" s="12" t="s">
        <v>236</v>
      </c>
      <c r="B1" s="12"/>
      <c r="C1" s="12"/>
      <c r="D1" s="12"/>
      <c r="E1" s="12"/>
      <c r="F1" s="12"/>
      <c r="G1" s="12"/>
      <c r="H1" s="12"/>
    </row>
    <row r="3" customFormat="false" ht="30" hidden="false" customHeight="true" outlineLevel="0" collapsed="false">
      <c r="A3" s="4" t="s">
        <v>237</v>
      </c>
      <c r="B3" s="4" t="s">
        <v>238</v>
      </c>
      <c r="C3" s="4" t="s">
        <v>239</v>
      </c>
      <c r="D3" s="4" t="s">
        <v>240</v>
      </c>
      <c r="E3" s="4" t="s">
        <v>241</v>
      </c>
      <c r="F3" s="4" t="s">
        <v>242</v>
      </c>
      <c r="G3" s="4" t="s">
        <v>243</v>
      </c>
      <c r="H3" s="4" t="s">
        <v>244</v>
      </c>
      <c r="I3" s="4" t="s">
        <v>245</v>
      </c>
      <c r="J3" s="4" t="s">
        <v>246</v>
      </c>
    </row>
    <row r="4" customFormat="false" ht="15" hidden="false" customHeight="true" outlineLevel="0" collapsed="false">
      <c r="A4" s="13" t="s">
        <v>60</v>
      </c>
      <c r="B4" s="8" t="n">
        <f aca="false">SUMIFS(Scoring!$K$2:$K$109,Scoring!$A$2:$A$109,$A4,Scoring!$B$2:$B$109,"2015")</f>
        <v>12</v>
      </c>
      <c r="C4" s="8" t="n">
        <f aca="false">COUNTIFS(Scoring!$A$2:$A$109,$A4,Scoring!$B$2:$B$109,"2015",Scoring!$K$2:$K$109,"&lt;&gt;N/A",Scoring!$K$2:$K$109,"&lt;&gt;")</f>
        <v>9</v>
      </c>
      <c r="D4" s="14" t="n">
        <f aca="false">IFERROR(B4/(C4*2),"-")</f>
        <v>0.666666666666667</v>
      </c>
      <c r="E4" s="8" t="n">
        <f aca="false">SUMIFS(Scoring!$K$2:$K$109,Scoring!$A$2:$A$109,$A4,Scoring!$B$2:$B$109,"2020")</f>
        <v>16</v>
      </c>
      <c r="F4" s="8" t="n">
        <f aca="false">COUNTIFS(Scoring!$A$2:$A$109,$A4,Scoring!$B$2:$B$109,"2020",Scoring!$K$2:$K$109,"&lt;&gt;N/A",Scoring!$K$2:$K$109,"&lt;&gt;")</f>
        <v>9</v>
      </c>
      <c r="G4" s="14" t="n">
        <f aca="false">IFERROR(E4/(F4*2),"-")</f>
        <v>0.888888888888889</v>
      </c>
      <c r="H4" s="8" t="n">
        <f aca="false">SUMIFS(Scoring!$K$2:$K$109,Scoring!$A$2:$A$109,$A4,Scoring!$B$2:$B$109,"2025/26")</f>
        <v>18</v>
      </c>
      <c r="I4" s="8" t="n">
        <f aca="false">COUNTIFS(Scoring!$A$2:$A$109,$A4,Scoring!$B$2:$B$109,"2025/26",Scoring!$K$2:$K$109,"&lt;&gt;N/A",Scoring!$K$2:$K$109,"&lt;&gt;")</f>
        <v>9</v>
      </c>
      <c r="J4" s="14" t="n">
        <f aca="false">IFERROR(H4/(I4*2),"-")</f>
        <v>1</v>
      </c>
    </row>
    <row r="5" customFormat="false" ht="15" hidden="false" customHeight="true" outlineLevel="0" collapsed="false">
      <c r="A5" s="15" t="s">
        <v>122</v>
      </c>
      <c r="B5" s="8" t="n">
        <f aca="false">SUMIFS(Scoring!$K$2:$K$109,Scoring!$A$2:$A$109,$A5,Scoring!$B$2:$B$109,"2015")</f>
        <v>0</v>
      </c>
      <c r="C5" s="8" t="n">
        <f aca="false">COUNTIFS(Scoring!$A$2:$A$109,$A5,Scoring!$B$2:$B$109,"2015",Scoring!$K$2:$K$109,"&lt;&gt;N/A",Scoring!$K$2:$K$109,"&lt;&gt;")</f>
        <v>0</v>
      </c>
      <c r="D5" s="14" t="str">
        <f aca="false">IFERROR(B5/(C5*2),"-")</f>
        <v>-</v>
      </c>
      <c r="E5" s="8" t="n">
        <f aca="false">SUMIFS(Scoring!$K$2:$K$109,Scoring!$A$2:$A$109,$A5,Scoring!$B$2:$B$109,"2020")</f>
        <v>0</v>
      </c>
      <c r="F5" s="8" t="n">
        <f aca="false">COUNTIFS(Scoring!$A$2:$A$109,$A5,Scoring!$B$2:$B$109,"2020",Scoring!$K$2:$K$109,"&lt;&gt;N/A",Scoring!$K$2:$K$109,"&lt;&gt;")</f>
        <v>0</v>
      </c>
      <c r="G5" s="14" t="str">
        <f aca="false">IFERROR(E5/(F5*2),"-")</f>
        <v>-</v>
      </c>
      <c r="H5" s="8" t="n">
        <f aca="false">SUMIFS(Scoring!$K$2:$K$109,Scoring!$A$2:$A$109,$A5,Scoring!$B$2:$B$109,"2025/26")</f>
        <v>17</v>
      </c>
      <c r="I5" s="8" t="n">
        <f aca="false">COUNTIFS(Scoring!$A$2:$A$109,$A5,Scoring!$B$2:$B$109,"2025/26",Scoring!$K$2:$K$109,"&lt;&gt;N/A",Scoring!$K$2:$K$109,"&lt;&gt;")</f>
        <v>9</v>
      </c>
      <c r="J5" s="14" t="n">
        <f aca="false">IFERROR(H5/(I5*2),"-")</f>
        <v>0.944444444444444</v>
      </c>
    </row>
    <row r="6" customFormat="false" ht="15" hidden="false" customHeight="true" outlineLevel="0" collapsed="false">
      <c r="A6" s="16" t="s">
        <v>147</v>
      </c>
      <c r="B6" s="8" t="n">
        <f aca="false">SUMIFS(Scoring!$K$2:$K$109,Scoring!$A$2:$A$109,$A6,Scoring!$B$2:$B$109,"2015")</f>
        <v>0</v>
      </c>
      <c r="C6" s="8" t="n">
        <f aca="false">COUNTIFS(Scoring!$A$2:$A$109,$A6,Scoring!$B$2:$B$109,"2015",Scoring!$K$2:$K$109,"&lt;&gt;N/A",Scoring!$K$2:$K$109,"&lt;&gt;")</f>
        <v>0</v>
      </c>
      <c r="D6" s="14" t="str">
        <f aca="false">IFERROR(B6/(C6*2),"-")</f>
        <v>-</v>
      </c>
      <c r="E6" s="8" t="n">
        <f aca="false">SUMIFS(Scoring!$K$2:$K$109,Scoring!$A$2:$A$109,$A6,Scoring!$B$2:$B$109,"2020")</f>
        <v>0</v>
      </c>
      <c r="F6" s="8" t="n">
        <f aca="false">COUNTIFS(Scoring!$A$2:$A$109,$A6,Scoring!$B$2:$B$109,"2020",Scoring!$K$2:$K$109,"&lt;&gt;N/A",Scoring!$K$2:$K$109,"&lt;&gt;")</f>
        <v>0</v>
      </c>
      <c r="G6" s="14" t="str">
        <f aca="false">IFERROR(E6/(F6*2),"-")</f>
        <v>-</v>
      </c>
      <c r="H6" s="8" t="n">
        <f aca="false">SUMIFS(Scoring!$K$2:$K$109,Scoring!$A$2:$A$109,$A6,Scoring!$B$2:$B$109,"2025/26")</f>
        <v>8</v>
      </c>
      <c r="I6" s="8" t="n">
        <f aca="false">COUNTIFS(Scoring!$A$2:$A$109,$A6,Scoring!$B$2:$B$109,"2025/26",Scoring!$K$2:$K$109,"&lt;&gt;N/A",Scoring!$K$2:$K$109,"&lt;&gt;")</f>
        <v>9</v>
      </c>
      <c r="J6" s="14" t="n">
        <f aca="false">IFERROR(H6/(I6*2),"-")</f>
        <v>0.444444444444444</v>
      </c>
    </row>
    <row r="7" customFormat="false" ht="15" hidden="false" customHeight="true" outlineLevel="0" collapsed="false">
      <c r="A7" s="17" t="s">
        <v>173</v>
      </c>
      <c r="B7" s="8" t="n">
        <f aca="false">SUMIFS(Scoring!$K$2:$K$109,Scoring!$A$2:$A$109,$A7,Scoring!$B$2:$B$109,"2015")</f>
        <v>10</v>
      </c>
      <c r="C7" s="8" t="n">
        <f aca="false">COUNTIFS(Scoring!$A$2:$A$109,$A7,Scoring!$B$2:$B$109,"2015",Scoring!$K$2:$K$109,"&lt;&gt;N/A",Scoring!$K$2:$K$109,"&lt;&gt;")</f>
        <v>9</v>
      </c>
      <c r="D7" s="14" t="n">
        <f aca="false">IFERROR(B7/(C7*2),"-")</f>
        <v>0.555555555555556</v>
      </c>
      <c r="E7" s="8" t="n">
        <f aca="false">SUMIFS(Scoring!$K$2:$K$109,Scoring!$A$2:$A$109,$A7,Scoring!$B$2:$B$109,"2020")</f>
        <v>16</v>
      </c>
      <c r="F7" s="8" t="n">
        <f aca="false">COUNTIFS(Scoring!$A$2:$A$109,$A7,Scoring!$B$2:$B$109,"2020",Scoring!$K$2:$K$109,"&lt;&gt;N/A",Scoring!$K$2:$K$109,"&lt;&gt;")</f>
        <v>9</v>
      </c>
      <c r="G7" s="14" t="n">
        <f aca="false">IFERROR(E7/(F7*2),"-")</f>
        <v>0.888888888888889</v>
      </c>
      <c r="H7" s="8" t="n">
        <f aca="false">SUMIFS(Scoring!$K$2:$K$109,Scoring!$A$2:$A$109,$A7,Scoring!$B$2:$B$109,"2025/26")</f>
        <v>17</v>
      </c>
      <c r="I7" s="8" t="n">
        <f aca="false">COUNTIFS(Scoring!$A$2:$A$109,$A7,Scoring!$B$2:$B$109,"2025/26",Scoring!$K$2:$K$109,"&lt;&gt;N/A",Scoring!$K$2:$K$109,"&lt;&gt;")</f>
        <v>9</v>
      </c>
      <c r="J7" s="14" t="n">
        <f aca="false">IFERROR(H7/(I7*2),"-")</f>
        <v>0.944444444444444</v>
      </c>
    </row>
    <row r="9" customFormat="false" ht="60" hidden="false" customHeight="true" outlineLevel="0" collapsed="false">
      <c r="A9" s="18" t="s">
        <v>247</v>
      </c>
      <c r="B9" s="18"/>
      <c r="C9" s="18"/>
      <c r="D9" s="18"/>
      <c r="E9" s="18"/>
      <c r="F9" s="18"/>
      <c r="G9" s="18"/>
      <c r="H9" s="18"/>
      <c r="I9" s="18"/>
      <c r="J9" s="18"/>
    </row>
  </sheetData>
  <mergeCells count="2">
    <mergeCell ref="A1:H1"/>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2026-09-22T12:24:39Z</dcterms:created>
  <dc:creator>Mohammad Alhawarat</dc:creator>
  <dc:description/>
  <dc:language>en-US</dc:language>
  <cp:lastModifiedBy>Mohammad Alhawarat</cp:lastModifiedBy>
  <dcterms:modified xsi:type="dcterms:W3CDTF">2026-09-24T08:27:47Z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